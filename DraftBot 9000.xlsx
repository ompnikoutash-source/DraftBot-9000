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Draftbot 9000\"/>
    </mc:Choice>
  </mc:AlternateContent>
  <xr:revisionPtr revIDLastSave="0" documentId="13_ncr:1_{33180E42-A514-4C82-9FAC-CDAC5A63354D}" xr6:coauthVersionLast="47" xr6:coauthVersionMax="47" xr10:uidLastSave="{00000000-0000-0000-0000-000000000000}"/>
  <bookViews>
    <workbookView xWindow="47280" yWindow="-13410" windowWidth="29040" windowHeight="15840" activeTab="2" xr2:uid="{08158846-B3FB-42A5-95F5-B4002A48E6D1}"/>
  </bookViews>
  <sheets>
    <sheet name="Overview" sheetId="1" r:id="rId1"/>
    <sheet name="Previous Draft Results" sheetId="4" r:id="rId2"/>
    <sheet name="Player Projections" sheetId="7" r:id="rId3"/>
    <sheet name="Players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6CB0D9-B98B-4938-8A51-07AADDD3DFAF}" keepAlive="1" name="Query - HTML Code" description="Connection to the 'HTML Code' query in the workbook." type="5" refreshedVersion="0" background="1">
    <dbPr connection="Provider=Microsoft.Mashup.OleDb.1;Data Source=$Workbook$;Location=&quot;HTML Code&quot;;Extended Properties=&quot;&quot;" command="SELECT * FROM [HTML Code]"/>
  </connection>
</connections>
</file>

<file path=xl/sharedStrings.xml><?xml version="1.0" encoding="utf-8"?>
<sst xmlns="http://schemas.openxmlformats.org/spreadsheetml/2006/main" count="2613" uniqueCount="540">
  <si>
    <t>Q</t>
  </si>
  <si>
    <t>W</t>
  </si>
  <si>
    <t>R</t>
  </si>
  <si>
    <t>W/R</t>
  </si>
  <si>
    <t>T</t>
  </si>
  <si>
    <t>D</t>
  </si>
  <si>
    <t>K</t>
  </si>
  <si>
    <t>RULES</t>
  </si>
  <si>
    <t>Pass Yards</t>
  </si>
  <si>
    <t>Pass Td</t>
  </si>
  <si>
    <t>Interceptions</t>
  </si>
  <si>
    <t>Rush Yards</t>
  </si>
  <si>
    <t>Ruch TD</t>
  </si>
  <si>
    <t>Receiving Yd</t>
  </si>
  <si>
    <t>Receiving Td</t>
  </si>
  <si>
    <t>Return TD</t>
  </si>
  <si>
    <t>2 Pt Conversion</t>
  </si>
  <si>
    <t>Fumbles Lost</t>
  </si>
  <si>
    <t>Off Fumble Return TD</t>
  </si>
  <si>
    <t>Offense</t>
  </si>
  <si>
    <t>Kicker</t>
  </si>
  <si>
    <t>0-19</t>
  </si>
  <si>
    <t>20-29</t>
  </si>
  <si>
    <t>30-39</t>
  </si>
  <si>
    <t>40-49</t>
  </si>
  <si>
    <t>50+</t>
  </si>
  <si>
    <t>Sack</t>
  </si>
  <si>
    <t>Fumble rec</t>
  </si>
  <si>
    <t>TD</t>
  </si>
  <si>
    <t>safety</t>
  </si>
  <si>
    <t>block kick</t>
  </si>
  <si>
    <t>kickoff and punt return td</t>
  </si>
  <si>
    <t>points allow 0</t>
  </si>
  <si>
    <t>pts all 1-6</t>
  </si>
  <si>
    <t>pts allow 7-13</t>
  </si>
  <si>
    <t>pts allow 14-20</t>
  </si>
  <si>
    <t>pts allow 21-27</t>
  </si>
  <si>
    <t>pts allow 28-24</t>
  </si>
  <si>
    <t>points allow 35+</t>
  </si>
  <si>
    <t>extra point returned</t>
  </si>
  <si>
    <t>pat</t>
  </si>
  <si>
    <t>Ja'Marr Chase</t>
  </si>
  <si>
    <t>WR</t>
  </si>
  <si>
    <t>Bijan Robinson</t>
  </si>
  <si>
    <t>RB</t>
  </si>
  <si>
    <t>Justin Jefferson</t>
  </si>
  <si>
    <t>Saquon Barkley</t>
  </si>
  <si>
    <t>Jahmyr Gibbs</t>
  </si>
  <si>
    <t>Christian McCaffrey</t>
  </si>
  <si>
    <t>SF</t>
  </si>
  <si>
    <t>CeeDee Lamb</t>
  </si>
  <si>
    <t>Malik Nabers</t>
  </si>
  <si>
    <t>NYG</t>
  </si>
  <si>
    <t>Puka Nacua</t>
  </si>
  <si>
    <t>LAR</t>
  </si>
  <si>
    <t>Derrick Henry</t>
  </si>
  <si>
    <t>Amon-Ra St. Brown</t>
  </si>
  <si>
    <t>Ashton Jeanty</t>
  </si>
  <si>
    <t>LV</t>
  </si>
  <si>
    <t>Nico Collins</t>
  </si>
  <si>
    <t>Brian Thomas Jr.</t>
  </si>
  <si>
    <t>A.J. Brown</t>
  </si>
  <si>
    <t>Tee Higgins</t>
  </si>
  <si>
    <t>Jonathan Taylor</t>
  </si>
  <si>
    <t>Josh Jacobs</t>
  </si>
  <si>
    <t>GB</t>
  </si>
  <si>
    <t>De'Von Achane</t>
  </si>
  <si>
    <t>Brock Bowers</t>
  </si>
  <si>
    <t>TE</t>
  </si>
  <si>
    <t>Trey McBride</t>
  </si>
  <si>
    <t>Kyren Williams</t>
  </si>
  <si>
    <t>Bucky Irving</t>
  </si>
  <si>
    <t>TB</t>
  </si>
  <si>
    <t>Drake London</t>
  </si>
  <si>
    <t>Davante Adams</t>
  </si>
  <si>
    <t>Tyreek Hill</t>
  </si>
  <si>
    <t>Terry McLaurin</t>
  </si>
  <si>
    <t>Josh Allen</t>
  </si>
  <si>
    <t>QB</t>
  </si>
  <si>
    <t>Lamar Jackson</t>
  </si>
  <si>
    <t>Jayden Daniels</t>
  </si>
  <si>
    <t>Jalen Hurts</t>
  </si>
  <si>
    <t>Chase Brown</t>
  </si>
  <si>
    <t>Ladd McConkey</t>
  </si>
  <si>
    <t>LAC</t>
  </si>
  <si>
    <t>Jaxon Smith-Njigba</t>
  </si>
  <si>
    <t>DK Metcalf</t>
  </si>
  <si>
    <t>Omarion Hampton</t>
  </si>
  <si>
    <t>Chuba Hubbard</t>
  </si>
  <si>
    <t>Joe Burrow</t>
  </si>
  <si>
    <t>George Kittle</t>
  </si>
  <si>
    <t>James Conner</t>
  </si>
  <si>
    <t>Alvin Kamara</t>
  </si>
  <si>
    <t>NO</t>
  </si>
  <si>
    <t>TreVeyon Henderson</t>
  </si>
  <si>
    <t>NE</t>
  </si>
  <si>
    <t>Kenneth Walker III</t>
  </si>
  <si>
    <t>Breece Hall</t>
  </si>
  <si>
    <t>NYJ</t>
  </si>
  <si>
    <t>Marvin Harrison Jr.</t>
  </si>
  <si>
    <t>Xavier Worthy</t>
  </si>
  <si>
    <t>KC</t>
  </si>
  <si>
    <t>Garrett Wilson</t>
  </si>
  <si>
    <t>Zay Flowers</t>
  </si>
  <si>
    <t>Mike Evans</t>
  </si>
  <si>
    <t>CAR</t>
  </si>
  <si>
    <t>2025 Fantasy Football Statistical Companion - Last Updated 9/1/2025</t>
  </si>
  <si>
    <t>Teams</t>
  </si>
  <si>
    <t>●</t>
  </si>
  <si>
    <t>PPR</t>
  </si>
  <si>
    <t>Rushing: 0.1 PPY, 6 PPTD</t>
  </si>
  <si>
    <t>Receiving: 0.1 PPY, 6 PPTD</t>
  </si>
  <si>
    <t>RK</t>
  </si>
  <si>
    <t>PLAYER</t>
  </si>
  <si>
    <t>TM</t>
  </si>
  <si>
    <t>BYE</t>
  </si>
  <si>
    <t>FPS</t>
  </si>
  <si>
    <t>Scar.</t>
  </si>
  <si>
    <t>Contr</t>
  </si>
  <si>
    <t>VAL</t>
  </si>
  <si>
    <t>Tier</t>
  </si>
  <si>
    <t>ADP</t>
  </si>
  <si>
    <t>ECR</t>
  </si>
  <si>
    <t>Cont.</t>
  </si>
  <si>
    <t>BUF</t>
  </si>
  <si>
    <t>ATL</t>
  </si>
  <si>
    <t>CIN</t>
  </si>
  <si>
    <t>BAL</t>
  </si>
  <si>
    <t>PHI</t>
  </si>
  <si>
    <t>DAL</t>
  </si>
  <si>
    <t>DET</t>
  </si>
  <si>
    <t>MIN</t>
  </si>
  <si>
    <t>WAS</t>
  </si>
  <si>
    <t>MIA</t>
  </si>
  <si>
    <t>Patrick Mahomes II</t>
  </si>
  <si>
    <t>Baker Mayfield</t>
  </si>
  <si>
    <t>HOU</t>
  </si>
  <si>
    <t>Kyler Murray</t>
  </si>
  <si>
    <t>ARI</t>
  </si>
  <si>
    <t>JAC</t>
  </si>
  <si>
    <t>Brock Purdy</t>
  </si>
  <si>
    <t>Bo Nix</t>
  </si>
  <si>
    <t>DEN</t>
  </si>
  <si>
    <t>IND</t>
  </si>
  <si>
    <t>Justin Fields</t>
  </si>
  <si>
    <t>J.J. McCarthy</t>
  </si>
  <si>
    <t>Caleb Williams</t>
  </si>
  <si>
    <t>CHI</t>
  </si>
  <si>
    <t>Dak Prescott</t>
  </si>
  <si>
    <t>James Cook</t>
  </si>
  <si>
    <t>Justin Herbert</t>
  </si>
  <si>
    <t>Jared Goff</t>
  </si>
  <si>
    <t>SEA</t>
  </si>
  <si>
    <t>Drake Maye</t>
  </si>
  <si>
    <t>C.J. Stroud</t>
  </si>
  <si>
    <t>Trevor Lawrence</t>
  </si>
  <si>
    <t>PIT</t>
  </si>
  <si>
    <t>Jordan Love</t>
  </si>
  <si>
    <t>Tony Pollard</t>
  </si>
  <si>
    <t>TEN</t>
  </si>
  <si>
    <t>Bryce Young</t>
  </si>
  <si>
    <t>DJ Moore</t>
  </si>
  <si>
    <t>Michael Penix Jr.</t>
  </si>
  <si>
    <t>Aaron Jones Sr.</t>
  </si>
  <si>
    <t>Tua Tagovailoa</t>
  </si>
  <si>
    <t>D'Andre Swift</t>
  </si>
  <si>
    <t>Geno Smith</t>
  </si>
  <si>
    <t>David Montgomery</t>
  </si>
  <si>
    <t>Tetairoa McMillan</t>
  </si>
  <si>
    <t>Cam Ward</t>
  </si>
  <si>
    <t>RJ Harvey</t>
  </si>
  <si>
    <t>Courtland Sutton</t>
  </si>
  <si>
    <t>Matthew Stafford</t>
  </si>
  <si>
    <t>Isiah Pacheco</t>
  </si>
  <si>
    <t>DeVonta Smith</t>
  </si>
  <si>
    <t>Sam Darnold</t>
  </si>
  <si>
    <t>Tyrone Tracy Jr.</t>
  </si>
  <si>
    <t>Jerry Jeudy</t>
  </si>
  <si>
    <t>CLE</t>
  </si>
  <si>
    <t>Aaron Rodgers</t>
  </si>
  <si>
    <t>Jaylen Warren</t>
  </si>
  <si>
    <t>Calvin Ridley</t>
  </si>
  <si>
    <t>Daniel Jones</t>
  </si>
  <si>
    <t>Austin Ekeler</t>
  </si>
  <si>
    <t>Jameson Williams</t>
  </si>
  <si>
    <t>Russell Wilson</t>
  </si>
  <si>
    <t>Kaleb Johnson</t>
  </si>
  <si>
    <t>George Pickens</t>
  </si>
  <si>
    <t>Spencer Rattler</t>
  </si>
  <si>
    <t>Zach Charbonnet</t>
  </si>
  <si>
    <t>Jaylen Waddle</t>
  </si>
  <si>
    <t>Joe Flacco</t>
  </si>
  <si>
    <t>Jacory Croskey-Merritt</t>
  </si>
  <si>
    <t>Deebo Samuel Sr.</t>
  </si>
  <si>
    <t>Javonte Williams</t>
  </si>
  <si>
    <t>Travis Hunter</t>
  </si>
  <si>
    <t>Travis Etienne Jr.</t>
  </si>
  <si>
    <t>Jakobi Meyers</t>
  </si>
  <si>
    <t>J.K. Dobbins</t>
  </si>
  <si>
    <t>Stefon Diggs</t>
  </si>
  <si>
    <t>Rhamondre Stevenson</t>
  </si>
  <si>
    <t>Chris Olave</t>
  </si>
  <si>
    <t>Jerome Ford</t>
  </si>
  <si>
    <t>Rome Odunze</t>
  </si>
  <si>
    <t>Joe Mixon</t>
  </si>
  <si>
    <t>Cooper Kupp</t>
  </si>
  <si>
    <t>Travis Kelce</t>
  </si>
  <si>
    <t>Jordan Mason</t>
  </si>
  <si>
    <t>Matthew Golden</t>
  </si>
  <si>
    <t>Sam LaPorta</t>
  </si>
  <si>
    <t>Rachaad White</t>
  </si>
  <si>
    <t>Michael Pittman Jr.</t>
  </si>
  <si>
    <t>David Njoku</t>
  </si>
  <si>
    <t>Cam Skattebo</t>
  </si>
  <si>
    <t>Ricky Pearsall</t>
  </si>
  <si>
    <t>T.J. Hockenson</t>
  </si>
  <si>
    <t>Quinshon Judkins</t>
  </si>
  <si>
    <t>Emeka Egbuka</t>
  </si>
  <si>
    <t>Mark Andrews</t>
  </si>
  <si>
    <t>Dylan Sampson</t>
  </si>
  <si>
    <t>Jauan Jennings</t>
  </si>
  <si>
    <t>Tyler Warren</t>
  </si>
  <si>
    <t>Jaydon Blue</t>
  </si>
  <si>
    <t>Khalil Shakir</t>
  </si>
  <si>
    <t>Evan Engram</t>
  </si>
  <si>
    <t>Trey Benson</t>
  </si>
  <si>
    <t>Chris Godwin Jr.</t>
  </si>
  <si>
    <t>Jake Ferguson</t>
  </si>
  <si>
    <t>Nick Chubb</t>
  </si>
  <si>
    <t>Darnell Mooney</t>
  </si>
  <si>
    <t>Tucker Kraft</t>
  </si>
  <si>
    <t>Tank Bigsby</t>
  </si>
  <si>
    <t>Josh Downs</t>
  </si>
  <si>
    <t>Dallas Goedert</t>
  </si>
  <si>
    <t>Najee Harris</t>
  </si>
  <si>
    <t>Rashid Shaheed</t>
  </si>
  <si>
    <t>Zach Ertz</t>
  </si>
  <si>
    <t>Tyjae Spears</t>
  </si>
  <si>
    <t>Keon Coleman</t>
  </si>
  <si>
    <t>Kyle Pitts Sr.</t>
  </si>
  <si>
    <t>Bhayshul Tuten</t>
  </si>
  <si>
    <t>Jordan Addison</t>
  </si>
  <si>
    <t>Dalton Kincaid</t>
  </si>
  <si>
    <t>Tyler Allgeier</t>
  </si>
  <si>
    <t>Rashee Rice</t>
  </si>
  <si>
    <t>Hunter Henry</t>
  </si>
  <si>
    <t>Rico Dowdle</t>
  </si>
  <si>
    <t>Jayden Reed</t>
  </si>
  <si>
    <t>Colston Loveland</t>
  </si>
  <si>
    <t>Ray Davis</t>
  </si>
  <si>
    <t>Marvin Mims Jr.</t>
  </si>
  <si>
    <t>Chig Okonkwo</t>
  </si>
  <si>
    <t>Braelon Allen</t>
  </si>
  <si>
    <t>Xavier Legette</t>
  </si>
  <si>
    <t>Brenton Strange</t>
  </si>
  <si>
    <t>Kareem Hunt</t>
  </si>
  <si>
    <t>Cedric Tillman</t>
  </si>
  <si>
    <t>Cade Otton</t>
  </si>
  <si>
    <t>Ollie Gordon II</t>
  </si>
  <si>
    <t>Rashod Bateman</t>
  </si>
  <si>
    <t>Jonnu Smith</t>
  </si>
  <si>
    <t>Kendre Miller</t>
  </si>
  <si>
    <t>Wan'Dale Robinson</t>
  </si>
  <si>
    <t>Darren Waller</t>
  </si>
  <si>
    <t>Justice Hill</t>
  </si>
  <si>
    <t>Marquise Brown</t>
  </si>
  <si>
    <t>Mason Taylor</t>
  </si>
  <si>
    <t>Roschon Johnson</t>
  </si>
  <si>
    <t>Keenan Allen</t>
  </si>
  <si>
    <t>Mike Gesicki</t>
  </si>
  <si>
    <t>Pat Freiermuth</t>
  </si>
  <si>
    <t>Definitions and Notes</t>
  </si>
  <si>
    <t>Donations Appreciated: @JoeMYoung</t>
  </si>
  <si>
    <t>Dalton Schultz</t>
  </si>
  <si>
    <t>1) Much credit to Beersheets. It heavily influenced the creation of this sheet and I hope some day it comes back.</t>
  </si>
  <si>
    <t>Robbie Ouzts</t>
  </si>
  <si>
    <t>2) Underlying projection data is sourced from FantasyPros.com</t>
  </si>
  <si>
    <t>ECR = Expert Consensus Rankings Customized On League Settings (First # Rd, Second # Pick)</t>
  </si>
  <si>
    <t>Juwan Johnson</t>
  </si>
  <si>
    <t>FPS = Total projected fantasy points divided by 17 games</t>
  </si>
  <si>
    <t>A vs E = Comparison Between ADP and ECR. If ADP &gt; ECR, bar will be red which means player is picked too early relative to ECR.</t>
  </si>
  <si>
    <t>Theo Johnson</t>
  </si>
  <si>
    <t>Scarcity = % of positional fantasy points remaining below the players ranking</t>
  </si>
  <si>
    <t>Isaiah Likely</t>
  </si>
  <si>
    <t>Contribution = FPS / Total Positional FPS For All Players</t>
  </si>
  <si>
    <t>Tier = Based on the distribution of FPS by position using standard deviation of tiers</t>
  </si>
  <si>
    <t>Tyler Higbee</t>
  </si>
  <si>
    <t>VAL = FPS / Average FPS Across All Players in Ranking</t>
  </si>
  <si>
    <t>ADP = Average Draft Position Customized Based on League Settings (First # Rd, Second # Pick)</t>
  </si>
  <si>
    <t>Team Owner</t>
  </si>
  <si>
    <t>Number</t>
  </si>
  <si>
    <t>Team Composition</t>
  </si>
  <si>
    <t>Bench 2</t>
  </si>
  <si>
    <t>Bench 3</t>
  </si>
  <si>
    <t>Bench 4</t>
  </si>
  <si>
    <t>Bench 5</t>
  </si>
  <si>
    <t>Bench 1</t>
  </si>
  <si>
    <t>BEN</t>
  </si>
  <si>
    <t>ROBERT</t>
  </si>
  <si>
    <t>JACK</t>
  </si>
  <si>
    <t>COLBY</t>
  </si>
  <si>
    <t>DIEGO</t>
  </si>
  <si>
    <t>ERIC</t>
  </si>
  <si>
    <t>TITO</t>
  </si>
  <si>
    <t>ALBERTO</t>
  </si>
  <si>
    <t>NOAH</t>
  </si>
  <si>
    <t>NIKO</t>
  </si>
  <si>
    <t>JAMES</t>
  </si>
  <si>
    <t xml:space="preserve">WR </t>
  </si>
  <si>
    <t>DEF</t>
  </si>
  <si>
    <t>EF</t>
  </si>
  <si>
    <t>KYLE</t>
  </si>
  <si>
    <t>Player</t>
  </si>
  <si>
    <t>Defense/Special Teams</t>
  </si>
  <si>
    <t>Passing</t>
  </si>
  <si>
    <t>Rushing</t>
  </si>
  <si>
    <t>Receiving</t>
  </si>
  <si>
    <t>Ret</t>
  </si>
  <si>
    <t>Misc</t>
  </si>
  <si>
    <t>Fum</t>
  </si>
  <si>
    <t>Fantasy</t>
  </si>
  <si>
    <t>Points</t>
  </si>
  <si>
    <t>Lamar JacksonQB - BAL</t>
  </si>
  <si>
    <t>Josh AllenQB - BUF</t>
  </si>
  <si>
    <t>Jalen HurtsQB - PHI</t>
  </si>
  <si>
    <t>Jayden DanielsQB - WASO</t>
  </si>
  <si>
    <t>Patrick MahomesQB - KCO</t>
  </si>
  <si>
    <t>Joe BurrowQB - CIN</t>
  </si>
  <si>
    <t>Baker MayfieldQB - TB</t>
  </si>
  <si>
    <t>Kyler MurrayQB - ARIIR</t>
  </si>
  <si>
    <t>Brock PurdyQB - SF</t>
  </si>
  <si>
    <t>Bo NixQB - DEN</t>
  </si>
  <si>
    <t>Drake MayeQB - NE</t>
  </si>
  <si>
    <t>J.J. McCarthyQB - MIN</t>
  </si>
  <si>
    <t>Caleb WilliamsQB - CHI</t>
  </si>
  <si>
    <t>Trevor LawrenceQB - JAX</t>
  </si>
  <si>
    <t>Justin FieldsQB - NYJQ</t>
  </si>
  <si>
    <t>Justin HerbertQB - LAC</t>
  </si>
  <si>
    <t>Dak PrescottQB - DAL</t>
  </si>
  <si>
    <t>C.J. StroudQB - HOU</t>
  </si>
  <si>
    <t>Jared GoffQB - DET</t>
  </si>
  <si>
    <t>Bryce YoungQB - CAR</t>
  </si>
  <si>
    <t>Jordan LoveQB - GB</t>
  </si>
  <si>
    <t>Cam WardQB - TEN</t>
  </si>
  <si>
    <t>Matthew StaffordQB - LAR</t>
  </si>
  <si>
    <t>Geno SmithQB - LVQ</t>
  </si>
  <si>
    <t>Yds</t>
  </si>
  <si>
    <t>Int</t>
  </si>
  <si>
    <t>Rec</t>
  </si>
  <si>
    <t>FumTD</t>
  </si>
  <si>
    <t>2PT</t>
  </si>
  <si>
    <t>Lost</t>
  </si>
  <si>
    <t>-</t>
  </si>
  <si>
    <t>Bijan RobinsonRB - ATL</t>
  </si>
  <si>
    <t>Jahmyr GibbsRB - DET</t>
  </si>
  <si>
    <t>Ashton JeantyRB - LV</t>
  </si>
  <si>
    <t>Christian McCaffreyRB - SF</t>
  </si>
  <si>
    <t>De'Von AchaneRB - MIA</t>
  </si>
  <si>
    <t>Derrick HenryRB - BAL</t>
  </si>
  <si>
    <t>Jonathan TaylorRB - IND</t>
  </si>
  <si>
    <t>Chase BrownRB - CIN</t>
  </si>
  <si>
    <t>Bucky IrvingRB - TB</t>
  </si>
  <si>
    <t>Kyren WilliamsRB - LAR</t>
  </si>
  <si>
    <t>Omarion HamptonRB - LAC</t>
  </si>
  <si>
    <t>Alvin KamaraRB - NOQ</t>
  </si>
  <si>
    <t>James ConnerRB - ARIIR</t>
  </si>
  <si>
    <t>James CookRB - BUF</t>
  </si>
  <si>
    <t>Breece HallRB - NYJ</t>
  </si>
  <si>
    <t>Chuba HubbardRB - CAR</t>
  </si>
  <si>
    <t>Tony PollardRB - TEN</t>
  </si>
  <si>
    <t>TreVeyon HendersonRB - NE</t>
  </si>
  <si>
    <t>Isiah PachecoRB - KC</t>
  </si>
  <si>
    <t>David MontgomeryRB - DET</t>
  </si>
  <si>
    <t>Kenneth Walker IIIRB - SEA</t>
  </si>
  <si>
    <t>D'Andre SwiftRB - CHI</t>
  </si>
  <si>
    <t>Tyrone Tracy Jr.RB - NYG</t>
  </si>
  <si>
    <t>Jaylen WarrenRB - PIT</t>
  </si>
  <si>
    <t>Aaron JonesRB - MIN</t>
  </si>
  <si>
    <t>Kaleb JohnsonRB - PIT</t>
  </si>
  <si>
    <t>J.K. DobbinsRB - DENIR</t>
  </si>
  <si>
    <t>Austin EkelerRB - WASIR</t>
  </si>
  <si>
    <t>Zach CharbonnetRB - SEA</t>
  </si>
  <si>
    <t>Travis EtienneRB - JAX</t>
  </si>
  <si>
    <t>Jordan MasonRB - MIN</t>
  </si>
  <si>
    <t>Javonte WilliamsRB - DAL</t>
  </si>
  <si>
    <t>Jaydon BlueRB - DAL</t>
  </si>
  <si>
    <t>Trey BensonRB - ARIIR</t>
  </si>
  <si>
    <t>Joe MixonRB - HOUNFI-R</t>
  </si>
  <si>
    <t>Rhamondre StevensonRB - NE</t>
  </si>
  <si>
    <t>Jacory Croskey-MerrittRB - WAS</t>
  </si>
  <si>
    <t>Ray DavisRB - BUF</t>
  </si>
  <si>
    <t>Nick ChubbRB - HOUQ</t>
  </si>
  <si>
    <t>Jerome FordRB - CLEIR</t>
  </si>
  <si>
    <t>Tyler AllgeierRB - ATL</t>
  </si>
  <si>
    <t>Cam SkatteboRB - NYGIR</t>
  </si>
  <si>
    <t>Quinshon JudkinsRB - CLE</t>
  </si>
  <si>
    <t>Rico DowdleRB - CAR</t>
  </si>
  <si>
    <t>Rachaad WhiteRB - TB</t>
  </si>
  <si>
    <t>Bhayshul TutenRB - JAXD</t>
  </si>
  <si>
    <t>Ja'Marr ChaseWR - CIN</t>
  </si>
  <si>
    <t>CeeDee LambWR - DAL</t>
  </si>
  <si>
    <t>Justin JeffersonWR - MIN</t>
  </si>
  <si>
    <t>Malik NabersWR - NYGIR</t>
  </si>
  <si>
    <t>Brian Thomas Jr.WR - JAX</t>
  </si>
  <si>
    <t>Puka NacuaWR - LAR</t>
  </si>
  <si>
    <t>Nico CollinsWR - HOU</t>
  </si>
  <si>
    <t>Amon-Ra St. BrownWR - DET</t>
  </si>
  <si>
    <t>Tyreek HillWR - MIAIR</t>
  </si>
  <si>
    <t>A.J. BrownWR - PHI</t>
  </si>
  <si>
    <t>Ladd McConkeyWR - LAC</t>
  </si>
  <si>
    <t>Garrett WilsonWR - NYJIR</t>
  </si>
  <si>
    <t>DK MetcalfWR - PIT</t>
  </si>
  <si>
    <t>Tee HigginsWR - CINQ</t>
  </si>
  <si>
    <t>Davante AdamsWR - LARQ</t>
  </si>
  <si>
    <t>Terry McLaurinWR - WAS</t>
  </si>
  <si>
    <t>Mike EvansWR - TB</t>
  </si>
  <si>
    <t>Tetairoa McMillanWR - CAR</t>
  </si>
  <si>
    <t>Jaxon Smith-NjigbaWR - SEA</t>
  </si>
  <si>
    <t>Jameson WilliamsWR - DET</t>
  </si>
  <si>
    <t>DJ MooreWR - CHI</t>
  </si>
  <si>
    <t>Courtland SuttonWR - DEN</t>
  </si>
  <si>
    <t>George PickensWR - DAL</t>
  </si>
  <si>
    <t>Jerry JeudyWR - CLE</t>
  </si>
  <si>
    <t>Calvin RidleyWR - TENIR</t>
  </si>
  <si>
    <t>DeVonta SmithWR - PHI</t>
  </si>
  <si>
    <t>Jaylen WaddleWR - MIA</t>
  </si>
  <si>
    <t>Xavier WorthyWR - KC</t>
  </si>
  <si>
    <t>Chris OlaveWR - NO</t>
  </si>
  <si>
    <t>Deebo Samuel Sr.WR - WAS</t>
  </si>
  <si>
    <t>Matthew GoldenWR - GB</t>
  </si>
  <si>
    <t>Rashee RiceWR - KC</t>
  </si>
  <si>
    <t>Travis HunterWR - JAXIR</t>
  </si>
  <si>
    <t>Zay FlowersWR - BAL</t>
  </si>
  <si>
    <t>Emeka EgbukaWR - TB</t>
  </si>
  <si>
    <t>Ricky PearsallWR - SFQ</t>
  </si>
  <si>
    <t>Stefon DiggsWR - NE</t>
  </si>
  <si>
    <t>Jakobi MeyersWR - JAX</t>
  </si>
  <si>
    <t>Jordan AddisonWR - MIN</t>
  </si>
  <si>
    <t>Rashid ShaheedWR - SEA</t>
  </si>
  <si>
    <t>Khalil ShakirWR - BUF</t>
  </si>
  <si>
    <t>Michael PittmanWR - IND</t>
  </si>
  <si>
    <t>Cooper KuppWR - SEA</t>
  </si>
  <si>
    <t>Chris Godwin Jr.WR - TB</t>
  </si>
  <si>
    <t>Josh DownsWR - IND</t>
  </si>
  <si>
    <t>Marvin Mims Jr.WR - DEN</t>
  </si>
  <si>
    <t>Jauan JenningsWR - SF</t>
  </si>
  <si>
    <t>Brock BowersTE - LV</t>
  </si>
  <si>
    <t>Trey McBrideTE - ARI</t>
  </si>
  <si>
    <t>George KittleTE - SF</t>
  </si>
  <si>
    <t>Sam LaPortaTE - DETIR</t>
  </si>
  <si>
    <t>T.J. HockensonTE - MIN</t>
  </si>
  <si>
    <t>Travis KelceTE - KC</t>
  </si>
  <si>
    <t>Evan EngramTE - DEN</t>
  </si>
  <si>
    <t>Mark AndrewsTE - BAL</t>
  </si>
  <si>
    <t>Tucker KraftTE - GBIR</t>
  </si>
  <si>
    <t>Tyler WarrenTE - IND</t>
  </si>
  <si>
    <t>Dallas GoedertTE - PHI</t>
  </si>
  <si>
    <t>Colston LovelandTE - CHI</t>
  </si>
  <si>
    <t>Jake FergusonTE - DAL</t>
  </si>
  <si>
    <t>Dalton KincaidTE - BUF</t>
  </si>
  <si>
    <t>Chig OkonkwoTE - TEN</t>
  </si>
  <si>
    <t>Kyle PittsTE - ATL</t>
  </si>
  <si>
    <t>Hunter HenryTE - NE</t>
  </si>
  <si>
    <t>Jonnu SmithTE - PIT</t>
  </si>
  <si>
    <t>Mike GesickiTE - CIN</t>
  </si>
  <si>
    <t>Mason TaylorTE - NYJQ</t>
  </si>
  <si>
    <t>Zach ErtzTE - WASIR</t>
  </si>
  <si>
    <t>Brenton StrangeTE - JAX</t>
  </si>
  <si>
    <t>Ja'Tavion SandersTE - CAR</t>
  </si>
  <si>
    <t>Juwan JohnsonTE - NO</t>
  </si>
  <si>
    <t>PAT</t>
  </si>
  <si>
    <t>FG Made</t>
  </si>
  <si>
    <t>Made</t>
  </si>
  <si>
    <t>Brandon AubreyK - DAL</t>
  </si>
  <si>
    <t>Cameron DickerK - LAC</t>
  </si>
  <si>
    <t>Jake BatesK - DET</t>
  </si>
  <si>
    <t>Harrison ButkerK - KC</t>
  </si>
  <si>
    <t>Ka'imi FairbairnK - HOU</t>
  </si>
  <si>
    <t>Chase McLaughlinK - TB</t>
  </si>
  <si>
    <t>Chris BoswellK - PIT</t>
  </si>
  <si>
    <t>Daniel CarlsonK - LV</t>
  </si>
  <si>
    <t>Matt GayK</t>
  </si>
  <si>
    <t>Tyler BassK - BUFIR</t>
  </si>
  <si>
    <t>Evan McPhersonK - CIN</t>
  </si>
  <si>
    <t>Will ReichardK - MIN</t>
  </si>
  <si>
    <t>Wil LutzK - DEN</t>
  </si>
  <si>
    <t>Jake ElliottK - PHI</t>
  </si>
  <si>
    <t>Tyler LoopK - BAL</t>
  </si>
  <si>
    <t>Brandon McManusK - GB</t>
  </si>
  <si>
    <t>Jake MoodyK - WAS</t>
  </si>
  <si>
    <t>Joshua KartyK - LAR</t>
  </si>
  <si>
    <t>Cam LittleK - JAX</t>
  </si>
  <si>
    <t>Chad RylandK - ARI</t>
  </si>
  <si>
    <t>Cairo SantosK - CHI</t>
  </si>
  <si>
    <t>Jason MyersK - SEA</t>
  </si>
  <si>
    <t>Blake GrupeK - IND</t>
  </si>
  <si>
    <t>Nick FolkK - NYJ</t>
  </si>
  <si>
    <t>Tackles</t>
  </si>
  <si>
    <t>Turnover</t>
  </si>
  <si>
    <t>Score</t>
  </si>
  <si>
    <t>Team</t>
  </si>
  <si>
    <t>Fum Rec</t>
  </si>
  <si>
    <t>Saf</t>
  </si>
  <si>
    <t>Def 2pt Ret</t>
  </si>
  <si>
    <t>Pts Allow</t>
  </si>
  <si>
    <t>Denver BroncosDEF</t>
  </si>
  <si>
    <t>Houston TexansDEF</t>
  </si>
  <si>
    <t>Baltimore RavensDEF</t>
  </si>
  <si>
    <t>Minnesota VikingsDEF</t>
  </si>
  <si>
    <t>Pittsburgh SteelersDEF</t>
  </si>
  <si>
    <t>Kansas City ChiefsDEF</t>
  </si>
  <si>
    <t>Detroit LionsDEF</t>
  </si>
  <si>
    <t>Miami DolphinsDEF</t>
  </si>
  <si>
    <t>San Francisco 49ersDEF</t>
  </si>
  <si>
    <t>Tampa Bay BuccaneersDEF</t>
  </si>
  <si>
    <t>Arizona CardinalsDEF</t>
  </si>
  <si>
    <t>Cincinnati BengalsDEF</t>
  </si>
  <si>
    <t>New York GiantsDEF</t>
  </si>
  <si>
    <t>New York JetsDEF</t>
  </si>
  <si>
    <t>Indianapolis ColtsDEF</t>
  </si>
  <si>
    <r>
      <t>Tua Tagovailoa</t>
    </r>
    <r>
      <rPr>
        <b/>
        <sz val="11"/>
        <color rgb="FF666666"/>
        <rFont val="Calibri"/>
        <family val="2"/>
        <scheme val="minor"/>
      </rPr>
      <t>QB - MIA</t>
    </r>
    <r>
      <rPr>
        <b/>
        <sz val="11"/>
        <color rgb="FF364C88"/>
        <rFont val="Calibri"/>
        <family val="2"/>
        <scheme val="minor"/>
      </rPr>
      <t>View News</t>
    </r>
  </si>
  <si>
    <r>
      <t>Saquon Barkley</t>
    </r>
    <r>
      <rPr>
        <b/>
        <sz val="11"/>
        <color rgb="FF666666"/>
        <rFont val="Calibri"/>
        <family val="2"/>
        <scheme val="minor"/>
      </rPr>
      <t>RB - PHI</t>
    </r>
    <r>
      <rPr>
        <b/>
        <sz val="11"/>
        <color rgb="FFFF0000"/>
        <rFont val="Calibri"/>
        <family val="2"/>
        <scheme val="minor"/>
      </rPr>
      <t>Q</t>
    </r>
    <r>
      <rPr>
        <b/>
        <sz val="11"/>
        <color rgb="FF364C88"/>
        <rFont val="Calibri"/>
        <family val="2"/>
        <scheme val="minor"/>
      </rPr>
      <t>View News</t>
    </r>
  </si>
  <si>
    <r>
      <t>Josh Jacobs</t>
    </r>
    <r>
      <rPr>
        <b/>
        <sz val="11"/>
        <color rgb="FF666666"/>
        <rFont val="Calibri"/>
        <family val="2"/>
        <scheme val="minor"/>
      </rPr>
      <t>RB - GB</t>
    </r>
    <r>
      <rPr>
        <b/>
        <sz val="11"/>
        <color rgb="FFFF0000"/>
        <rFont val="Calibri"/>
        <family val="2"/>
        <scheme val="minor"/>
      </rPr>
      <t>Q</t>
    </r>
    <r>
      <rPr>
        <b/>
        <sz val="11"/>
        <color rgb="FF364C88"/>
        <rFont val="Calibri"/>
        <family val="2"/>
        <scheme val="minor"/>
      </rPr>
      <t>View News</t>
    </r>
  </si>
  <si>
    <r>
      <t>RJ Harvey</t>
    </r>
    <r>
      <rPr>
        <b/>
        <sz val="11"/>
        <color rgb="FF666666"/>
        <rFont val="Calibri"/>
        <family val="2"/>
        <scheme val="minor"/>
      </rPr>
      <t>RB - DEN</t>
    </r>
    <r>
      <rPr>
        <b/>
        <sz val="11"/>
        <color rgb="FFFF0000"/>
        <rFont val="Calibri"/>
        <family val="2"/>
        <scheme val="minor"/>
      </rPr>
      <t>Q</t>
    </r>
    <r>
      <rPr>
        <b/>
        <sz val="11"/>
        <color rgb="FF364C88"/>
        <rFont val="Calibri"/>
        <family val="2"/>
        <scheme val="minor"/>
      </rPr>
      <t>View News</t>
    </r>
  </si>
  <si>
    <r>
      <t>Dylan Sampson</t>
    </r>
    <r>
      <rPr>
        <b/>
        <sz val="11"/>
        <color rgb="FF666666"/>
        <rFont val="Calibri"/>
        <family val="2"/>
        <scheme val="minor"/>
      </rPr>
      <t>RB - CLE</t>
    </r>
    <r>
      <rPr>
        <b/>
        <sz val="11"/>
        <color rgb="FFFF0000"/>
        <rFont val="Calibri"/>
        <family val="2"/>
        <scheme val="minor"/>
      </rPr>
      <t>Q</t>
    </r>
    <r>
      <rPr>
        <b/>
        <sz val="11"/>
        <color rgb="FF364C88"/>
        <rFont val="Calibri"/>
        <family val="2"/>
        <scheme val="minor"/>
      </rPr>
      <t>View News</t>
    </r>
  </si>
  <si>
    <r>
      <t>Drake London</t>
    </r>
    <r>
      <rPr>
        <b/>
        <sz val="11"/>
        <color rgb="FF666666"/>
        <rFont val="Calibri"/>
        <family val="2"/>
        <scheme val="minor"/>
      </rPr>
      <t>WR - ATL</t>
    </r>
    <r>
      <rPr>
        <b/>
        <sz val="11"/>
        <color rgb="FFFF0000"/>
        <rFont val="Calibri"/>
        <family val="2"/>
        <scheme val="minor"/>
      </rPr>
      <t>Q</t>
    </r>
    <r>
      <rPr>
        <b/>
        <sz val="11"/>
        <color rgb="FF364C88"/>
        <rFont val="Calibri"/>
        <family val="2"/>
        <scheme val="minor"/>
      </rPr>
      <t>View News</t>
    </r>
  </si>
  <si>
    <r>
      <t>Marvin Harrison Jr.</t>
    </r>
    <r>
      <rPr>
        <b/>
        <sz val="11"/>
        <color rgb="FF666666"/>
        <rFont val="Calibri"/>
        <family val="2"/>
        <scheme val="minor"/>
      </rPr>
      <t>WR - ARI</t>
    </r>
    <r>
      <rPr>
        <b/>
        <sz val="11"/>
        <color rgb="FFFF0000"/>
        <rFont val="Calibri"/>
        <family val="2"/>
        <scheme val="minor"/>
      </rPr>
      <t>Q</t>
    </r>
    <r>
      <rPr>
        <b/>
        <sz val="11"/>
        <color rgb="FF364C88"/>
        <rFont val="Calibri"/>
        <family val="2"/>
        <scheme val="minor"/>
      </rPr>
      <t>View News</t>
    </r>
  </si>
  <si>
    <r>
      <t>Rome Odunze</t>
    </r>
    <r>
      <rPr>
        <b/>
        <sz val="11"/>
        <color rgb="FF666666"/>
        <rFont val="Calibri"/>
        <family val="2"/>
        <scheme val="minor"/>
      </rPr>
      <t>WR - CHI</t>
    </r>
    <r>
      <rPr>
        <b/>
        <sz val="11"/>
        <color rgb="FFFF0000"/>
        <rFont val="Calibri"/>
        <family val="2"/>
        <scheme val="minor"/>
      </rPr>
      <t>Q</t>
    </r>
    <r>
      <rPr>
        <b/>
        <sz val="11"/>
        <color rgb="FF364C88"/>
        <rFont val="Calibri"/>
        <family val="2"/>
        <scheme val="minor"/>
      </rPr>
      <t>View News</t>
    </r>
  </si>
  <si>
    <r>
      <t>David Njoku</t>
    </r>
    <r>
      <rPr>
        <b/>
        <sz val="11"/>
        <color rgb="FF666666"/>
        <rFont val="Calibri"/>
        <family val="2"/>
        <scheme val="minor"/>
      </rPr>
      <t>TE - CLE</t>
    </r>
    <r>
      <rPr>
        <b/>
        <sz val="11"/>
        <color rgb="FFFF0000"/>
        <rFont val="Calibri"/>
        <family val="2"/>
        <scheme val="minor"/>
      </rPr>
      <t>Q</t>
    </r>
    <r>
      <rPr>
        <b/>
        <sz val="11"/>
        <color rgb="FF364C88"/>
        <rFont val="Calibri"/>
        <family val="2"/>
        <scheme val="minor"/>
      </rPr>
      <t>View News</t>
    </r>
  </si>
  <si>
    <r>
      <t>Younghoe Koo</t>
    </r>
    <r>
      <rPr>
        <b/>
        <sz val="11"/>
        <color rgb="FF666666"/>
        <rFont val="Calibri"/>
        <family val="2"/>
        <scheme val="minor"/>
      </rPr>
      <t>K</t>
    </r>
    <r>
      <rPr>
        <b/>
        <sz val="11"/>
        <color rgb="FF364C88"/>
        <rFont val="Calibri"/>
        <family val="2"/>
        <scheme val="minor"/>
      </rPr>
      <t>View News</t>
    </r>
  </si>
  <si>
    <r>
      <t>Philadelphia Eagles</t>
    </r>
    <r>
      <rPr>
        <b/>
        <sz val="11"/>
        <color rgb="FF666666"/>
        <rFont val="Calibri"/>
        <family val="2"/>
        <scheme val="minor"/>
      </rPr>
      <t>DEF</t>
    </r>
    <r>
      <rPr>
        <b/>
        <sz val="11"/>
        <color rgb="FF364C88"/>
        <rFont val="Calibri"/>
        <family val="2"/>
        <scheme val="minor"/>
      </rPr>
      <t>View News</t>
    </r>
  </si>
  <si>
    <r>
      <t>Buffalo Bills</t>
    </r>
    <r>
      <rPr>
        <b/>
        <sz val="11"/>
        <color rgb="FF666666"/>
        <rFont val="Calibri"/>
        <family val="2"/>
        <scheme val="minor"/>
      </rPr>
      <t>DEF</t>
    </r>
    <r>
      <rPr>
        <b/>
        <sz val="11"/>
        <color rgb="FF364C88"/>
        <rFont val="Calibri"/>
        <family val="2"/>
        <scheme val="minor"/>
      </rPr>
      <t>View News</t>
    </r>
  </si>
  <si>
    <r>
      <t>Green Bay Packers</t>
    </r>
    <r>
      <rPr>
        <b/>
        <sz val="11"/>
        <color rgb="FF666666"/>
        <rFont val="Calibri"/>
        <family val="2"/>
        <scheme val="minor"/>
      </rPr>
      <t>DEF</t>
    </r>
    <r>
      <rPr>
        <b/>
        <sz val="11"/>
        <color rgb="FF364C88"/>
        <rFont val="Calibri"/>
        <family val="2"/>
        <scheme val="minor"/>
      </rPr>
      <t>View News</t>
    </r>
  </si>
  <si>
    <r>
      <t>Los Angeles Rams</t>
    </r>
    <r>
      <rPr>
        <b/>
        <sz val="11"/>
        <color rgb="FF666666"/>
        <rFont val="Calibri"/>
        <family val="2"/>
        <scheme val="minor"/>
      </rPr>
      <t>DEF</t>
    </r>
    <r>
      <rPr>
        <b/>
        <sz val="11"/>
        <color rgb="FF364C88"/>
        <rFont val="Calibri"/>
        <family val="2"/>
        <scheme val="minor"/>
      </rPr>
      <t>View News</t>
    </r>
  </si>
  <si>
    <r>
      <t>Dallas Cowboys</t>
    </r>
    <r>
      <rPr>
        <b/>
        <sz val="11"/>
        <color rgb="FF666666"/>
        <rFont val="Calibri"/>
        <family val="2"/>
        <scheme val="minor"/>
      </rPr>
      <t>DEF</t>
    </r>
    <r>
      <rPr>
        <b/>
        <sz val="11"/>
        <color rgb="FF364C88"/>
        <rFont val="Calibri"/>
        <family val="2"/>
        <scheme val="minor"/>
      </rPr>
      <t>View News</t>
    </r>
  </si>
  <si>
    <r>
      <t>Washington Commanders</t>
    </r>
    <r>
      <rPr>
        <b/>
        <sz val="11"/>
        <color rgb="FF666666"/>
        <rFont val="Calibri"/>
        <family val="2"/>
        <scheme val="minor"/>
      </rPr>
      <t>DEF</t>
    </r>
    <r>
      <rPr>
        <b/>
        <sz val="11"/>
        <color rgb="FF364C88"/>
        <rFont val="Calibri"/>
        <family val="2"/>
        <scheme val="minor"/>
      </rPr>
      <t>View News</t>
    </r>
  </si>
  <si>
    <r>
      <t>Seattle Seahawks</t>
    </r>
    <r>
      <rPr>
        <b/>
        <sz val="11"/>
        <color rgb="FF666666"/>
        <rFont val="Calibri"/>
        <family val="2"/>
        <scheme val="minor"/>
      </rPr>
      <t>DEF</t>
    </r>
    <r>
      <rPr>
        <b/>
        <sz val="11"/>
        <color rgb="FF364C88"/>
        <rFont val="Calibri"/>
        <family val="2"/>
        <scheme val="minor"/>
      </rPr>
      <t>View News</t>
    </r>
  </si>
  <si>
    <r>
      <t>Chicago Bears</t>
    </r>
    <r>
      <rPr>
        <b/>
        <sz val="11"/>
        <color rgb="FF666666"/>
        <rFont val="Calibri"/>
        <family val="2"/>
        <scheme val="minor"/>
      </rPr>
      <t>DEF</t>
    </r>
    <r>
      <rPr>
        <b/>
        <sz val="11"/>
        <color rgb="FF364C88"/>
        <rFont val="Calibri"/>
        <family val="2"/>
        <scheme val="minor"/>
      </rPr>
      <t>View News</t>
    </r>
  </si>
  <si>
    <r>
      <t>Los Angeles Chargers</t>
    </r>
    <r>
      <rPr>
        <b/>
        <sz val="11"/>
        <color rgb="FF666666"/>
        <rFont val="Calibri"/>
        <family val="2"/>
        <scheme val="minor"/>
      </rPr>
      <t>DEF</t>
    </r>
    <r>
      <rPr>
        <b/>
        <sz val="11"/>
        <color rgb="FF364C88"/>
        <rFont val="Calibri"/>
        <family val="2"/>
        <scheme val="minor"/>
      </rPr>
      <t>View News</t>
    </r>
  </si>
  <si>
    <r>
      <t>Cleveland Browns</t>
    </r>
    <r>
      <rPr>
        <b/>
        <sz val="11"/>
        <color rgb="FF666666"/>
        <rFont val="Calibri"/>
        <family val="2"/>
        <scheme val="minor"/>
      </rPr>
      <t>DEF</t>
    </r>
    <r>
      <rPr>
        <b/>
        <sz val="11"/>
        <color rgb="FF364C88"/>
        <rFont val="Calibri"/>
        <family val="2"/>
        <scheme val="minor"/>
      </rPr>
      <t>View News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</si>
</sst>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636363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rgb="FF555555"/>
      <name val="Calibri"/>
      <family val="2"/>
      <scheme val="minor"/>
    </font>
    <font>
      <b/>
      <sz val="11"/>
      <color rgb="FF364C88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1F6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E3E3E3"/>
      </bottom>
      <diagonal/>
    </border>
    <border>
      <left/>
      <right/>
      <top/>
      <bottom style="medium">
        <color rgb="FFE5E5E5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E5E5E5"/>
      </top>
      <bottom style="medium">
        <color rgb="FFFFFFFF"/>
      </bottom>
      <diagonal/>
    </border>
    <border>
      <left/>
      <right/>
      <top style="medium">
        <color rgb="FFE5E5E5"/>
      </top>
      <bottom style="medium">
        <color rgb="FFFFFFFF"/>
      </bottom>
      <diagonal/>
    </border>
    <border>
      <left/>
      <right style="medium">
        <color rgb="FFFFFFFF"/>
      </right>
      <top style="medium">
        <color rgb="FFE5E5E5"/>
      </top>
      <bottom style="medium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/>
    <xf numFmtId="0" fontId="3" fillId="4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0" fontId="5" fillId="7" borderId="6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antasy.nfl.com/players/card?leagueId=0&amp;playerId=2570074" TargetMode="External"/><Relationship Id="rId21" Type="http://schemas.openxmlformats.org/officeDocument/2006/relationships/hyperlink" Target="https://fantasy.nfl.com/players/card?leagueId=0&amp;playerId=2560800" TargetMode="External"/><Relationship Id="rId42" Type="http://schemas.openxmlformats.org/officeDocument/2006/relationships/hyperlink" Target="https://fantasy.nfl.com/players/card?leagueId=0&amp;playerId=2567862" TargetMode="External"/><Relationship Id="rId63" Type="http://schemas.openxmlformats.org/officeDocument/2006/relationships/hyperlink" Target="https://fantasy.nfl.com/players/card?leagueId=0&amp;playerId=2569257" TargetMode="External"/><Relationship Id="rId84" Type="http://schemas.openxmlformats.org/officeDocument/2006/relationships/hyperlink" Target="https://fantasy.nfl.com/players/card?leagueId=0&amp;playerId=2570026" TargetMode="External"/><Relationship Id="rId138" Type="http://schemas.openxmlformats.org/officeDocument/2006/relationships/hyperlink" Target="https://fantasy.nfl.com/research/projections?position=4&amp;sort=30&amp;statCategory=projectedStats&amp;statSeason=2025&amp;statType=seasonProjectedStats&amp;statWeek=16" TargetMode="External"/><Relationship Id="rId159" Type="http://schemas.openxmlformats.org/officeDocument/2006/relationships/hyperlink" Target="https://fantasy.nfl.com/players/card?leagueId=0&amp;playerId=2574451" TargetMode="External"/><Relationship Id="rId170" Type="http://schemas.openxmlformats.org/officeDocument/2006/relationships/hyperlink" Target="https://fantasy.nfl.com/players/card?leagueId=0&amp;playerId=2550545" TargetMode="External"/><Relationship Id="rId191" Type="http://schemas.openxmlformats.org/officeDocument/2006/relationships/hyperlink" Target="https://fantasy.nfl.com/players/card?leagueId=0&amp;playerId=100020" TargetMode="External"/><Relationship Id="rId205" Type="http://schemas.openxmlformats.org/officeDocument/2006/relationships/hyperlink" Target="https://fantasy.nfl.com/research/projections?position=7&amp;sort=38&amp;statCategory=projectedStats&amp;statSeason=2025&amp;statType=seasonProjectedStats&amp;statWeek=16" TargetMode="External"/><Relationship Id="rId226" Type="http://schemas.openxmlformats.org/officeDocument/2006/relationships/hyperlink" Target="https://fantasy.nfl.com/research/projections?position=3&amp;sort=15&amp;statCategory=projectedStats&amp;statSeason=2025&amp;statType=seasonProjectedStats&amp;statWeek=16" TargetMode="External"/><Relationship Id="rId247" Type="http://schemas.openxmlformats.org/officeDocument/2006/relationships/hyperlink" Target="https://fantasy.nfl.com/research/projections?position=2&amp;sort=20&amp;statCategory=projectedStats&amp;statSeason=2025&amp;statType=seasonProjectedStats&amp;statWeek=16" TargetMode="External"/><Relationship Id="rId107" Type="http://schemas.openxmlformats.org/officeDocument/2006/relationships/hyperlink" Target="https://fantasy.nfl.com/players/card?leagueId=0&amp;playerId=2567973" TargetMode="External"/><Relationship Id="rId11" Type="http://schemas.openxmlformats.org/officeDocument/2006/relationships/hyperlink" Target="https://fantasy.nfl.com/research/projections?position=1&amp;sort=29&amp;statCategory=projectedStats&amp;statSeason=2025&amp;statType=seasonProjectedStats&amp;statWeek=16" TargetMode="External"/><Relationship Id="rId32" Type="http://schemas.openxmlformats.org/officeDocument/2006/relationships/hyperlink" Target="https://fantasy.nfl.com/players/card?leagueId=0&amp;playerId=2569819" TargetMode="External"/><Relationship Id="rId53" Type="http://schemas.openxmlformats.org/officeDocument/2006/relationships/hyperlink" Target="https://fantasy.nfl.com/players/card?leagueId=0&amp;playerId=2568282" TargetMode="External"/><Relationship Id="rId74" Type="http://schemas.openxmlformats.org/officeDocument/2006/relationships/hyperlink" Target="https://fantasy.nfl.com/players/card?leagueId=0&amp;playerId=2574427" TargetMode="External"/><Relationship Id="rId128" Type="http://schemas.openxmlformats.org/officeDocument/2006/relationships/hyperlink" Target="https://fantasy.nfl.com/research/projections?position=4&amp;sort=6&amp;statCategory=projectedStats&amp;statSeason=2025&amp;statType=seasonProjectedStats&amp;statWeek=16" TargetMode="External"/><Relationship Id="rId149" Type="http://schemas.openxmlformats.org/officeDocument/2006/relationships/hyperlink" Target="https://fantasy.nfl.com/players/card?leagueId=0&amp;playerId=2574204" TargetMode="External"/><Relationship Id="rId5" Type="http://schemas.openxmlformats.org/officeDocument/2006/relationships/hyperlink" Target="https://fantasy.nfl.com/research/projections?position=1&amp;sort=14&amp;statCategory=projectedStats&amp;statSeason=2025&amp;statType=seasonProjectedStats&amp;statWeek=16" TargetMode="External"/><Relationship Id="rId95" Type="http://schemas.openxmlformats.org/officeDocument/2006/relationships/hyperlink" Target="https://fantasy.nfl.com/players/card?leagueId=0&amp;playerId=2543468" TargetMode="External"/><Relationship Id="rId160" Type="http://schemas.openxmlformats.org/officeDocument/2006/relationships/hyperlink" Target="https://fantasy.nfl.com/players/card?leagueId=0&amp;playerId=2540158" TargetMode="External"/><Relationship Id="rId181" Type="http://schemas.openxmlformats.org/officeDocument/2006/relationships/hyperlink" Target="https://fantasy.nfl.com/players/card?leagueId=0&amp;playerId=2572201" TargetMode="External"/><Relationship Id="rId216" Type="http://schemas.openxmlformats.org/officeDocument/2006/relationships/hyperlink" Target="https://fantasy.nfl.com/research/projections?position=8&amp;sort=49&amp;statCategory=projectedStats&amp;statSeason=2025&amp;statType=seasonProjectedStats&amp;statWeek=16" TargetMode="External"/><Relationship Id="rId237" Type="http://schemas.openxmlformats.org/officeDocument/2006/relationships/hyperlink" Target="https://fantasy.nfl.com/players/card?leagueId=0&amp;playerId=2557997" TargetMode="External"/><Relationship Id="rId22" Type="http://schemas.openxmlformats.org/officeDocument/2006/relationships/hyperlink" Target="https://fantasy.nfl.com/players/card?leagueId=0&amp;playerId=2562382" TargetMode="External"/><Relationship Id="rId43" Type="http://schemas.openxmlformats.org/officeDocument/2006/relationships/hyperlink" Target="https://fantasy.nfl.com/players/card?leagueId=0&amp;playerId=2574514" TargetMode="External"/><Relationship Id="rId64" Type="http://schemas.openxmlformats.org/officeDocument/2006/relationships/hyperlink" Target="https://fantasy.nfl.com/players/card?leagueId=0&amp;playerId=2566049" TargetMode="External"/><Relationship Id="rId118" Type="http://schemas.openxmlformats.org/officeDocument/2006/relationships/hyperlink" Target="https://fantasy.nfl.com/players/card?leagueId=0&amp;playerId=2569110" TargetMode="External"/><Relationship Id="rId139" Type="http://schemas.openxmlformats.org/officeDocument/2006/relationships/hyperlink" Target="https://fantasy.nfl.com/research/projections?position=4&amp;sort=projectedPts&amp;statCategory=projectedStats&amp;statSeason=2025&amp;statType=seasonProjectedStats&amp;statWeek=16" TargetMode="External"/><Relationship Id="rId85" Type="http://schemas.openxmlformats.org/officeDocument/2006/relationships/hyperlink" Target="https://fantasy.nfl.com/players/card?leagueId=0&amp;playerId=2566127" TargetMode="External"/><Relationship Id="rId150" Type="http://schemas.openxmlformats.org/officeDocument/2006/relationships/hyperlink" Target="https://fantasy.nfl.com/players/card?leagueId=0&amp;playerId=2560995" TargetMode="External"/><Relationship Id="rId171" Type="http://schemas.openxmlformats.org/officeDocument/2006/relationships/hyperlink" Target="https://fantasy.nfl.com/players/card?leagueId=0&amp;playerId=2560993" TargetMode="External"/><Relationship Id="rId192" Type="http://schemas.openxmlformats.org/officeDocument/2006/relationships/hyperlink" Target="https://fantasy.nfl.com/players/card?leagueId=0&amp;playerId=100027" TargetMode="External"/><Relationship Id="rId206" Type="http://schemas.openxmlformats.org/officeDocument/2006/relationships/hyperlink" Target="https://fantasy.nfl.com/research/projections?position=7&amp;sort=37&amp;statCategory=projectedStats&amp;statSeason=2025&amp;statType=seasonProjectedStats&amp;statWeek=16" TargetMode="External"/><Relationship Id="rId227" Type="http://schemas.openxmlformats.org/officeDocument/2006/relationships/hyperlink" Target="https://fantasy.nfl.com/research/projections?position=3&amp;sort=20&amp;statCategory=projectedStats&amp;statSeason=2025&amp;statType=seasonProjectedStats&amp;statWeek=16" TargetMode="External"/><Relationship Id="rId248" Type="http://schemas.openxmlformats.org/officeDocument/2006/relationships/hyperlink" Target="https://fantasy.nfl.com/research/projections?position=2&amp;sort=21&amp;statCategory=projectedStats&amp;statSeason=2025&amp;statType=seasonProjectedStats&amp;statWeek=16" TargetMode="External"/><Relationship Id="rId12" Type="http://schemas.openxmlformats.org/officeDocument/2006/relationships/hyperlink" Target="https://fantasy.nfl.com/research/projections?position=1&amp;sort=32&amp;statCategory=projectedStats&amp;statSeason=2025&amp;statType=seasonProjectedStats&amp;statWeek=16" TargetMode="External"/><Relationship Id="rId33" Type="http://schemas.openxmlformats.org/officeDocument/2006/relationships/hyperlink" Target="https://fantasy.nfl.com/players/card?leagueId=0&amp;playerId=2555334" TargetMode="External"/><Relationship Id="rId108" Type="http://schemas.openxmlformats.org/officeDocument/2006/relationships/hyperlink" Target="https://fantasy.nfl.com/players/card?leagueId=0&amp;playerId=2562721" TargetMode="External"/><Relationship Id="rId129" Type="http://schemas.openxmlformats.org/officeDocument/2006/relationships/hyperlink" Target="https://fantasy.nfl.com/research/projections?position=4&amp;sort=7&amp;statCategory=projectedStats&amp;statSeason=2025&amp;statType=seasonProjectedStats&amp;statWeek=16" TargetMode="External"/><Relationship Id="rId54" Type="http://schemas.openxmlformats.org/officeDocument/2006/relationships/hyperlink" Target="https://fantasy.nfl.com/players/card?leagueId=0&amp;playerId=2563965" TargetMode="External"/><Relationship Id="rId70" Type="http://schemas.openxmlformats.org/officeDocument/2006/relationships/hyperlink" Target="https://fantasy.nfl.com/players/card?leagueId=0&amp;playerId=2571862" TargetMode="External"/><Relationship Id="rId75" Type="http://schemas.openxmlformats.org/officeDocument/2006/relationships/hyperlink" Target="https://fantasy.nfl.com/players/card?leagueId=0&amp;playerId=2574053" TargetMode="External"/><Relationship Id="rId91" Type="http://schemas.openxmlformats.org/officeDocument/2006/relationships/hyperlink" Target="https://fantasy.nfl.com/players/card?leagueId=0&amp;playerId=2562685" TargetMode="External"/><Relationship Id="rId96" Type="http://schemas.openxmlformats.org/officeDocument/2006/relationships/hyperlink" Target="https://fantasy.nfl.com/players/card?leagueId=0&amp;playerId=2573992" TargetMode="External"/><Relationship Id="rId140" Type="http://schemas.openxmlformats.org/officeDocument/2006/relationships/hyperlink" Target="https://fantasy.nfl.com/players/card?leagueId=0&amp;playerId=2572219" TargetMode="External"/><Relationship Id="rId145" Type="http://schemas.openxmlformats.org/officeDocument/2006/relationships/hyperlink" Target="https://fantasy.nfl.com/players/card?leagueId=0&amp;playerId=2540258" TargetMode="External"/><Relationship Id="rId161" Type="http://schemas.openxmlformats.org/officeDocument/2006/relationships/hyperlink" Target="https://fantasy.nfl.com/players/card?leagueId=0&amp;playerId=2569912" TargetMode="External"/><Relationship Id="rId166" Type="http://schemas.openxmlformats.org/officeDocument/2006/relationships/hyperlink" Target="https://fantasy.nfl.com/players/card?leagueId=0&amp;playerId=2571759" TargetMode="External"/><Relationship Id="rId182" Type="http://schemas.openxmlformats.org/officeDocument/2006/relationships/hyperlink" Target="https://fantasy.nfl.com/players/card?leagueId=0&amp;playerId=2572147" TargetMode="External"/><Relationship Id="rId187" Type="http://schemas.openxmlformats.org/officeDocument/2006/relationships/hyperlink" Target="https://fantasy.nfl.com/players/card?leagueId=0&amp;playerId=2507225" TargetMode="External"/><Relationship Id="rId217" Type="http://schemas.openxmlformats.org/officeDocument/2006/relationships/hyperlink" Target="https://fantasy.nfl.com/research/projections?position=8&amp;sort=47&amp;statCategory=projectedStats&amp;statSeason=2025&amp;statType=seasonProjectedStats&amp;statWeek=16" TargetMode="External"/><Relationship Id="rId1" Type="http://schemas.openxmlformats.org/officeDocument/2006/relationships/hyperlink" Target="https://fantasy.nfl.com/research/projections?position=1&amp;sort=name&amp;statCategory=projectedStats&amp;statSeason=2025&amp;statType=seasonProjectedStats&amp;statWeek=16" TargetMode="External"/><Relationship Id="rId6" Type="http://schemas.openxmlformats.org/officeDocument/2006/relationships/hyperlink" Target="https://fantasy.nfl.com/research/projections?position=1&amp;sort=15&amp;statCategory=projectedStats&amp;statSeason=2025&amp;statType=seasonProjectedStats&amp;statWeek=16" TargetMode="External"/><Relationship Id="rId212" Type="http://schemas.openxmlformats.org/officeDocument/2006/relationships/hyperlink" Target="https://fantasy.nfl.com/research/projections?position=8&amp;sort=54&amp;statCategory=projectedStats&amp;statSeason=2025&amp;statType=seasonProjectedStats&amp;statWeek=16" TargetMode="External"/><Relationship Id="rId233" Type="http://schemas.openxmlformats.org/officeDocument/2006/relationships/hyperlink" Target="https://fantasy.nfl.com/research/projections?position=3&amp;sort=30&amp;statCategory=projectedStats&amp;statSeason=2025&amp;statType=seasonProjectedStats&amp;statWeek=16" TargetMode="External"/><Relationship Id="rId238" Type="http://schemas.openxmlformats.org/officeDocument/2006/relationships/hyperlink" Target="https://fantasy.nfl.com/players/card?leagueId=0&amp;playerId=2574298" TargetMode="External"/><Relationship Id="rId254" Type="http://schemas.openxmlformats.org/officeDocument/2006/relationships/hyperlink" Target="https://fantasy.nfl.com/research/projections?position=2&amp;sort=projectedPts&amp;statCategory=projectedStats&amp;statSeason=2025&amp;statType=seasonProjectedStats&amp;statWeek=16" TargetMode="External"/><Relationship Id="rId23" Type="http://schemas.openxmlformats.org/officeDocument/2006/relationships/hyperlink" Target="https://fantasy.nfl.com/players/card?leagueId=0&amp;playerId=2568216" TargetMode="External"/><Relationship Id="rId28" Type="http://schemas.openxmlformats.org/officeDocument/2006/relationships/hyperlink" Target="https://fantasy.nfl.com/players/card?leagueId=0&amp;playerId=2566163" TargetMode="External"/><Relationship Id="rId49" Type="http://schemas.openxmlformats.org/officeDocument/2006/relationships/hyperlink" Target="https://fantasy.nfl.com/players/card?leagueId=0&amp;playerId=2562699" TargetMode="External"/><Relationship Id="rId114" Type="http://schemas.openxmlformats.org/officeDocument/2006/relationships/hyperlink" Target="https://fantasy.nfl.com/players/card?leagueId=0&amp;playerId=2572507" TargetMode="External"/><Relationship Id="rId119" Type="http://schemas.openxmlformats.org/officeDocument/2006/relationships/hyperlink" Target="https://fantasy.nfl.com/players/card?leagueId=0&amp;playerId=2567334" TargetMode="External"/><Relationship Id="rId44" Type="http://schemas.openxmlformats.org/officeDocument/2006/relationships/hyperlink" Target="https://fantasy.nfl.com/players/card?leagueId=0&amp;playerId=2558019" TargetMode="External"/><Relationship Id="rId60" Type="http://schemas.openxmlformats.org/officeDocument/2006/relationships/hyperlink" Target="https://fantasy.nfl.com/players/card?leagueId=0&amp;playerId=2559169" TargetMode="External"/><Relationship Id="rId65" Type="http://schemas.openxmlformats.org/officeDocument/2006/relationships/hyperlink" Target="https://fantasy.nfl.com/players/card?leagueId=0&amp;playerId=2574068" TargetMode="External"/><Relationship Id="rId81" Type="http://schemas.openxmlformats.org/officeDocument/2006/relationships/hyperlink" Target="https://fantasy.nfl.com/players/card?leagueId=0&amp;playerId=2564556" TargetMode="External"/><Relationship Id="rId86" Type="http://schemas.openxmlformats.org/officeDocument/2006/relationships/hyperlink" Target="https://fantasy.nfl.com/players/card?leagueId=0&amp;playerId=2566073" TargetMode="External"/><Relationship Id="rId130" Type="http://schemas.openxmlformats.org/officeDocument/2006/relationships/hyperlink" Target="https://fantasy.nfl.com/research/projections?position=4&amp;sort=14&amp;statCategory=projectedStats&amp;statSeason=2025&amp;statType=seasonProjectedStats&amp;statWeek=16" TargetMode="External"/><Relationship Id="rId135" Type="http://schemas.openxmlformats.org/officeDocument/2006/relationships/hyperlink" Target="https://fantasy.nfl.com/research/projections?position=4&amp;sort=28&amp;statCategory=projectedStats&amp;statSeason=2025&amp;statType=seasonProjectedStats&amp;statWeek=16" TargetMode="External"/><Relationship Id="rId151" Type="http://schemas.openxmlformats.org/officeDocument/2006/relationships/hyperlink" Target="https://fantasy.nfl.com/players/card?leagueId=0&amp;playerId=2574014" TargetMode="External"/><Relationship Id="rId156" Type="http://schemas.openxmlformats.org/officeDocument/2006/relationships/hyperlink" Target="https://fantasy.nfl.com/players/card?leagueId=0&amp;playerId=2555341" TargetMode="External"/><Relationship Id="rId177" Type="http://schemas.openxmlformats.org/officeDocument/2006/relationships/hyperlink" Target="https://fantasy.nfl.com/players/card?leagueId=0&amp;playerId=2558172" TargetMode="External"/><Relationship Id="rId198" Type="http://schemas.openxmlformats.org/officeDocument/2006/relationships/hyperlink" Target="https://fantasy.nfl.com/players/card?leagueId=0&amp;playerId=100026" TargetMode="External"/><Relationship Id="rId172" Type="http://schemas.openxmlformats.org/officeDocument/2006/relationships/hyperlink" Target="https://fantasy.nfl.com/players/card?leagueId=0&amp;playerId=2562271" TargetMode="External"/><Relationship Id="rId193" Type="http://schemas.openxmlformats.org/officeDocument/2006/relationships/hyperlink" Target="https://fantasy.nfl.com/players/card?leagueId=0&amp;playerId=100016" TargetMode="External"/><Relationship Id="rId202" Type="http://schemas.openxmlformats.org/officeDocument/2006/relationships/hyperlink" Target="https://fantasy.nfl.com/players/card?leagueId=0&amp;playerId=100014" TargetMode="External"/><Relationship Id="rId207" Type="http://schemas.openxmlformats.org/officeDocument/2006/relationships/hyperlink" Target="https://fantasy.nfl.com/research/projections?position=7&amp;sort=36&amp;statCategory=projectedStats&amp;statSeason=2025&amp;statType=seasonProjectedStats&amp;statWeek=16" TargetMode="External"/><Relationship Id="rId223" Type="http://schemas.openxmlformats.org/officeDocument/2006/relationships/hyperlink" Target="https://fantasy.nfl.com/research/projections?position=3&amp;sort=6&amp;statCategory=projectedStats&amp;statSeason=2025&amp;statType=seasonProjectedStats&amp;statWeek=16" TargetMode="External"/><Relationship Id="rId228" Type="http://schemas.openxmlformats.org/officeDocument/2006/relationships/hyperlink" Target="https://fantasy.nfl.com/research/projections?position=3&amp;sort=21&amp;statCategory=projectedStats&amp;statSeason=2025&amp;statType=seasonProjectedStats&amp;statWeek=16" TargetMode="External"/><Relationship Id="rId244" Type="http://schemas.openxmlformats.org/officeDocument/2006/relationships/hyperlink" Target="https://fantasy.nfl.com/research/projections?position=2&amp;sort=7&amp;statCategory=projectedStats&amp;statSeason=2025&amp;statType=seasonProjectedStats&amp;statWeek=16" TargetMode="External"/><Relationship Id="rId249" Type="http://schemas.openxmlformats.org/officeDocument/2006/relationships/hyperlink" Target="https://fantasy.nfl.com/research/projections?position=2&amp;sort=22&amp;statCategory=projectedStats&amp;statSeason=2025&amp;statType=seasonProjectedStats&amp;statWeek=16" TargetMode="External"/><Relationship Id="rId13" Type="http://schemas.openxmlformats.org/officeDocument/2006/relationships/hyperlink" Target="https://fantasy.nfl.com/research/projections?position=1&amp;sort=30&amp;statCategory=projectedStats&amp;statSeason=2025&amp;statType=seasonProjectedStats&amp;statWeek=16" TargetMode="External"/><Relationship Id="rId18" Type="http://schemas.openxmlformats.org/officeDocument/2006/relationships/hyperlink" Target="https://fantasy.nfl.com/players/card?leagueId=0&amp;playerId=2572564" TargetMode="External"/><Relationship Id="rId39" Type="http://schemas.openxmlformats.org/officeDocument/2006/relationships/hyperlink" Target="https://fantasy.nfl.com/players/card?leagueId=0&amp;playerId=2564148" TargetMode="External"/><Relationship Id="rId109" Type="http://schemas.openxmlformats.org/officeDocument/2006/relationships/hyperlink" Target="https://fantasy.nfl.com/players/card?leagueId=0&amp;playerId=2574130" TargetMode="External"/><Relationship Id="rId34" Type="http://schemas.openxmlformats.org/officeDocument/2006/relationships/hyperlink" Target="https://fantasy.nfl.com/players/card?leagueId=0&amp;playerId=2569606" TargetMode="External"/><Relationship Id="rId50" Type="http://schemas.openxmlformats.org/officeDocument/2006/relationships/hyperlink" Target="https://fantasy.nfl.com/players/card?leagueId=0&amp;playerId=2574374" TargetMode="External"/><Relationship Id="rId55" Type="http://schemas.openxmlformats.org/officeDocument/2006/relationships/hyperlink" Target="https://fantasy.nfl.com/players/card?leagueId=0&amp;playerId=2572351" TargetMode="External"/><Relationship Id="rId76" Type="http://schemas.openxmlformats.org/officeDocument/2006/relationships/hyperlink" Target="https://fantasy.nfl.com/players/card?leagueId=0&amp;playerId=2565295" TargetMode="External"/><Relationship Id="rId97" Type="http://schemas.openxmlformats.org/officeDocument/2006/relationships/hyperlink" Target="https://fantasy.nfl.com/players/card?leagueId=0&amp;playerId=2570341" TargetMode="External"/><Relationship Id="rId104" Type="http://schemas.openxmlformats.org/officeDocument/2006/relationships/hyperlink" Target="https://fantasy.nfl.com/players/card?leagueId=0&amp;playerId=2566409" TargetMode="External"/><Relationship Id="rId120" Type="http://schemas.openxmlformats.org/officeDocument/2006/relationships/hyperlink" Target="https://fantasy.nfl.com/players/card?leagueId=0&amp;playerId=2564136" TargetMode="External"/><Relationship Id="rId125" Type="http://schemas.openxmlformats.org/officeDocument/2006/relationships/hyperlink" Target="https://fantasy.nfl.com/players/card?leagueId=0&amp;playerId=2565114" TargetMode="External"/><Relationship Id="rId141" Type="http://schemas.openxmlformats.org/officeDocument/2006/relationships/hyperlink" Target="https://fantasy.nfl.com/players/card?leagueId=0&amp;playerId=2568117" TargetMode="External"/><Relationship Id="rId146" Type="http://schemas.openxmlformats.org/officeDocument/2006/relationships/hyperlink" Target="https://fantasy.nfl.com/players/card?leagueId=0&amp;playerId=2557858" TargetMode="External"/><Relationship Id="rId167" Type="http://schemas.openxmlformats.org/officeDocument/2006/relationships/hyperlink" Target="https://fantasy.nfl.com/players/card?leagueId=0&amp;playerId=2558245" TargetMode="External"/><Relationship Id="rId188" Type="http://schemas.openxmlformats.org/officeDocument/2006/relationships/hyperlink" Target="https://fantasy.nfl.com/players/card?leagueId=0&amp;playerId=100009" TargetMode="External"/><Relationship Id="rId7" Type="http://schemas.openxmlformats.org/officeDocument/2006/relationships/hyperlink" Target="https://fantasy.nfl.com/research/projections?position=1&amp;sort=20&amp;statCategory=projectedStats&amp;statSeason=2025&amp;statType=seasonProjectedStats&amp;statWeek=16" TargetMode="External"/><Relationship Id="rId71" Type="http://schemas.openxmlformats.org/officeDocument/2006/relationships/hyperlink" Target="https://fantasy.nfl.com/players/card?leagueId=0&amp;playerId=2561021" TargetMode="External"/><Relationship Id="rId92" Type="http://schemas.openxmlformats.org/officeDocument/2006/relationships/hyperlink" Target="https://fantasy.nfl.com/players/card?leagueId=0&amp;playerId=2563731" TargetMode="External"/><Relationship Id="rId162" Type="http://schemas.openxmlformats.org/officeDocument/2006/relationships/hyperlink" Target="https://fantasy.nfl.com/players/card?leagueId=0&amp;playerId=2571892" TargetMode="External"/><Relationship Id="rId183" Type="http://schemas.openxmlformats.org/officeDocument/2006/relationships/hyperlink" Target="https://fantasy.nfl.com/players/card?leagueId=0&amp;playerId=2570125" TargetMode="External"/><Relationship Id="rId213" Type="http://schemas.openxmlformats.org/officeDocument/2006/relationships/hyperlink" Target="https://fantasy.nfl.com/research/projections?position=8&amp;sort=53&amp;statCategory=projectedStats&amp;statSeason=2025&amp;statType=seasonProjectedStats&amp;statWeek=16" TargetMode="External"/><Relationship Id="rId218" Type="http://schemas.openxmlformats.org/officeDocument/2006/relationships/hyperlink" Target="https://fantasy.nfl.com/research/projections?position=8&amp;sort=46&amp;statCategory=projectedStats&amp;statSeason=2025&amp;statType=seasonProjectedStats&amp;statWeek=16" TargetMode="External"/><Relationship Id="rId234" Type="http://schemas.openxmlformats.org/officeDocument/2006/relationships/hyperlink" Target="https://fantasy.nfl.com/research/projections?position=3&amp;sort=projectedPts&amp;statCategory=projectedStats&amp;statSeason=2025&amp;statType=seasonProjectedStats&amp;statWeek=16" TargetMode="External"/><Relationship Id="rId239" Type="http://schemas.openxmlformats.org/officeDocument/2006/relationships/hyperlink" Target="https://fantasy.nfl.com/players/card?leagueId=0&amp;playerId=2569747" TargetMode="External"/><Relationship Id="rId2" Type="http://schemas.openxmlformats.org/officeDocument/2006/relationships/hyperlink" Target="https://fantasy.nfl.com/research/projections?position=1&amp;sort=5&amp;statCategory=projectedStats&amp;statSeason=2025&amp;statType=seasonProjectedStats&amp;statWeek=16" TargetMode="External"/><Relationship Id="rId29" Type="http://schemas.openxmlformats.org/officeDocument/2006/relationships/hyperlink" Target="https://fantasy.nfl.com/players/card?leagueId=0&amp;playerId=2565920" TargetMode="External"/><Relationship Id="rId250" Type="http://schemas.openxmlformats.org/officeDocument/2006/relationships/hyperlink" Target="https://fantasy.nfl.com/research/projections?position=2&amp;sort=28&amp;statCategory=projectedStats&amp;statSeason=2025&amp;statType=seasonProjectedStats&amp;statWeek=16" TargetMode="External"/><Relationship Id="rId24" Type="http://schemas.openxmlformats.org/officeDocument/2006/relationships/hyperlink" Target="https://fantasy.nfl.com/players/card?leagueId=0&amp;playerId=2572003" TargetMode="External"/><Relationship Id="rId40" Type="http://schemas.openxmlformats.org/officeDocument/2006/relationships/hyperlink" Target="https://fantasy.nfl.com/players/card?leagueId=0&amp;playerId=2569642" TargetMode="External"/><Relationship Id="rId45" Type="http://schemas.openxmlformats.org/officeDocument/2006/relationships/hyperlink" Target="https://fantasy.nfl.com/players/card?leagueId=0&amp;playerId=2557978" TargetMode="External"/><Relationship Id="rId66" Type="http://schemas.openxmlformats.org/officeDocument/2006/relationships/hyperlink" Target="https://fantasy.nfl.com/players/card?leagueId=0&amp;playerId=2572405" TargetMode="External"/><Relationship Id="rId87" Type="http://schemas.openxmlformats.org/officeDocument/2006/relationships/hyperlink" Target="https://fantasy.nfl.com/players/card?leagueId=0&amp;playerId=2556214" TargetMode="External"/><Relationship Id="rId110" Type="http://schemas.openxmlformats.org/officeDocument/2006/relationships/hyperlink" Target="https://fantasy.nfl.com/players/card?leagueId=0&amp;playerId=2569921" TargetMode="External"/><Relationship Id="rId115" Type="http://schemas.openxmlformats.org/officeDocument/2006/relationships/hyperlink" Target="https://fantasy.nfl.com/players/card?leagueId=0&amp;playerId=2552608" TargetMode="External"/><Relationship Id="rId131" Type="http://schemas.openxmlformats.org/officeDocument/2006/relationships/hyperlink" Target="https://fantasy.nfl.com/research/projections?position=4&amp;sort=15&amp;statCategory=projectedStats&amp;statSeason=2025&amp;statType=seasonProjectedStats&amp;statWeek=16" TargetMode="External"/><Relationship Id="rId136" Type="http://schemas.openxmlformats.org/officeDocument/2006/relationships/hyperlink" Target="https://fantasy.nfl.com/research/projections?position=4&amp;sort=29&amp;statCategory=projectedStats&amp;statSeason=2025&amp;statType=seasonProjectedStats&amp;statWeek=16" TargetMode="External"/><Relationship Id="rId157" Type="http://schemas.openxmlformats.org/officeDocument/2006/relationships/hyperlink" Target="https://fantasy.nfl.com/players/card?leagueId=0&amp;playerId=2558207" TargetMode="External"/><Relationship Id="rId178" Type="http://schemas.openxmlformats.org/officeDocument/2006/relationships/hyperlink" Target="https://fantasy.nfl.com/players/card?leagueId=0&amp;playerId=2573940" TargetMode="External"/><Relationship Id="rId61" Type="http://schemas.openxmlformats.org/officeDocument/2006/relationships/hyperlink" Target="https://fantasy.nfl.com/players/card?leagueId=0&amp;playerId=2570335" TargetMode="External"/><Relationship Id="rId82" Type="http://schemas.openxmlformats.org/officeDocument/2006/relationships/hyperlink" Target="https://fantasy.nfl.com/players/card?leagueId=0&amp;playerId=2572342" TargetMode="External"/><Relationship Id="rId152" Type="http://schemas.openxmlformats.org/officeDocument/2006/relationships/hyperlink" Target="https://fantasy.nfl.com/players/card?leagueId=0&amp;playerId=2567496" TargetMode="External"/><Relationship Id="rId173" Type="http://schemas.openxmlformats.org/officeDocument/2006/relationships/hyperlink" Target="https://fantasy.nfl.com/players/card?leagueId=0&amp;playerId=2563596" TargetMode="External"/><Relationship Id="rId194" Type="http://schemas.openxmlformats.org/officeDocument/2006/relationships/hyperlink" Target="https://fantasy.nfl.com/players/card?leagueId=0&amp;playerId=100010" TargetMode="External"/><Relationship Id="rId199" Type="http://schemas.openxmlformats.org/officeDocument/2006/relationships/hyperlink" Target="https://fantasy.nfl.com/players/card?leagueId=0&amp;playerId=100006" TargetMode="External"/><Relationship Id="rId203" Type="http://schemas.openxmlformats.org/officeDocument/2006/relationships/hyperlink" Target="https://fantasy.nfl.com/research/projections?position=7&amp;sort=projectedPts&amp;statCategory=projectedStats&amp;statSeason=2025&amp;statType=seasonProjectedStats&amp;statWeek=16" TargetMode="External"/><Relationship Id="rId208" Type="http://schemas.openxmlformats.org/officeDocument/2006/relationships/hyperlink" Target="https://fantasy.nfl.com/research/projections?position=7&amp;sort=35&amp;statCategory=projectedStats&amp;statSeason=2025&amp;statType=seasonProjectedStats&amp;statWeek=16" TargetMode="External"/><Relationship Id="rId229" Type="http://schemas.openxmlformats.org/officeDocument/2006/relationships/hyperlink" Target="https://fantasy.nfl.com/research/projections?position=3&amp;sort=22&amp;statCategory=projectedStats&amp;statSeason=2025&amp;statType=seasonProjectedStats&amp;statWeek=16" TargetMode="External"/><Relationship Id="rId19" Type="http://schemas.openxmlformats.org/officeDocument/2006/relationships/hyperlink" Target="https://fantasy.nfl.com/players/card?leagueId=0&amp;playerId=2558125" TargetMode="External"/><Relationship Id="rId224" Type="http://schemas.openxmlformats.org/officeDocument/2006/relationships/hyperlink" Target="https://fantasy.nfl.com/research/projections?position=3&amp;sort=7&amp;statCategory=projectedStats&amp;statSeason=2025&amp;statType=seasonProjectedStats&amp;statWeek=16" TargetMode="External"/><Relationship Id="rId240" Type="http://schemas.openxmlformats.org/officeDocument/2006/relationships/hyperlink" Target="https://fantasy.nfl.com/players/card?leagueId=0&amp;playerId=2569558" TargetMode="External"/><Relationship Id="rId245" Type="http://schemas.openxmlformats.org/officeDocument/2006/relationships/hyperlink" Target="https://fantasy.nfl.com/research/projections?position=2&amp;sort=14&amp;statCategory=projectedStats&amp;statSeason=2025&amp;statType=seasonProjectedStats&amp;statWeek=16" TargetMode="External"/><Relationship Id="rId14" Type="http://schemas.openxmlformats.org/officeDocument/2006/relationships/hyperlink" Target="https://fantasy.nfl.com/research/projections?position=1&amp;sort=projectedPts&amp;statCategory=projectedStats&amp;statSeason=2025&amp;statType=seasonProjectedStats&amp;statWeek=16" TargetMode="External"/><Relationship Id="rId30" Type="http://schemas.openxmlformats.org/officeDocument/2006/relationships/hyperlink" Target="https://fantasy.nfl.com/players/card?leagueId=0&amp;playerId=2565045" TargetMode="External"/><Relationship Id="rId35" Type="http://schemas.openxmlformats.org/officeDocument/2006/relationships/hyperlink" Target="https://fantasy.nfl.com/players/card?leagueId=0&amp;playerId=2564007" TargetMode="External"/><Relationship Id="rId56" Type="http://schemas.openxmlformats.org/officeDocument/2006/relationships/hyperlink" Target="https://fantasy.nfl.com/players/card?leagueId=0&amp;playerId=2568493" TargetMode="External"/><Relationship Id="rId77" Type="http://schemas.openxmlformats.org/officeDocument/2006/relationships/hyperlink" Target="https://fantasy.nfl.com/players/card?leagueId=0&amp;playerId=2568315" TargetMode="External"/><Relationship Id="rId100" Type="http://schemas.openxmlformats.org/officeDocument/2006/relationships/hyperlink" Target="https://fantasy.nfl.com/players/card?leagueId=0&amp;playerId=2560888" TargetMode="External"/><Relationship Id="rId105" Type="http://schemas.openxmlformats.org/officeDocument/2006/relationships/hyperlink" Target="https://fantasy.nfl.com/players/card?leagueId=0&amp;playerId=2566292" TargetMode="External"/><Relationship Id="rId126" Type="http://schemas.openxmlformats.org/officeDocument/2006/relationships/hyperlink" Target="https://fantasy.nfl.com/research/projections?position=4&amp;sort=name&amp;statCategory=projectedStats&amp;statSeason=2025&amp;statType=seasonProjectedStats&amp;statWeek=16" TargetMode="External"/><Relationship Id="rId147" Type="http://schemas.openxmlformats.org/officeDocument/2006/relationships/hyperlink" Target="https://fantasy.nfl.com/players/card?leagueId=0&amp;playerId=2560957" TargetMode="External"/><Relationship Id="rId168" Type="http://schemas.openxmlformats.org/officeDocument/2006/relationships/hyperlink" Target="https://fantasy.nfl.com/players/card?leagueId=0&amp;playerId=2556521" TargetMode="External"/><Relationship Id="rId8" Type="http://schemas.openxmlformats.org/officeDocument/2006/relationships/hyperlink" Target="https://fantasy.nfl.com/research/projections?position=1&amp;sort=21&amp;statCategory=projectedStats&amp;statSeason=2025&amp;statType=seasonProjectedStats&amp;statWeek=16" TargetMode="External"/><Relationship Id="rId51" Type="http://schemas.openxmlformats.org/officeDocument/2006/relationships/hyperlink" Target="https://fantasy.nfl.com/players/card?leagueId=0&amp;playerId=2567808" TargetMode="External"/><Relationship Id="rId72" Type="http://schemas.openxmlformats.org/officeDocument/2006/relationships/hyperlink" Target="https://fantasy.nfl.com/players/card?leagueId=0&amp;playerId=2567469" TargetMode="External"/><Relationship Id="rId93" Type="http://schemas.openxmlformats.org/officeDocument/2006/relationships/hyperlink" Target="https://fantasy.nfl.com/players/card?leagueId=0&amp;playerId=2543495" TargetMode="External"/><Relationship Id="rId98" Type="http://schemas.openxmlformats.org/officeDocument/2006/relationships/hyperlink" Target="https://fantasy.nfl.com/players/card?leagueId=0&amp;playerId=2567565" TargetMode="External"/><Relationship Id="rId121" Type="http://schemas.openxmlformats.org/officeDocument/2006/relationships/hyperlink" Target="https://fantasy.nfl.com/players/card?leagueId=0&amp;playerId=2557898" TargetMode="External"/><Relationship Id="rId142" Type="http://schemas.openxmlformats.org/officeDocument/2006/relationships/hyperlink" Target="https://fantasy.nfl.com/players/card?leagueId=0&amp;playerId=2558266" TargetMode="External"/><Relationship Id="rId163" Type="http://schemas.openxmlformats.org/officeDocument/2006/relationships/hyperlink" Target="https://fantasy.nfl.com/players/card?leagueId=0&amp;playerId=2564676" TargetMode="External"/><Relationship Id="rId184" Type="http://schemas.openxmlformats.org/officeDocument/2006/relationships/hyperlink" Target="https://fantasy.nfl.com/players/card?leagueId=0&amp;playerId=2550636" TargetMode="External"/><Relationship Id="rId189" Type="http://schemas.openxmlformats.org/officeDocument/2006/relationships/hyperlink" Target="https://fantasy.nfl.com/players/card?leagueId=0&amp;playerId=100013" TargetMode="External"/><Relationship Id="rId219" Type="http://schemas.openxmlformats.org/officeDocument/2006/relationships/hyperlink" Target="https://fantasy.nfl.com/research/projections?position=8&amp;sort=45&amp;statCategory=projectedStats&amp;statSeason=2025&amp;statType=seasonProjectedStats&amp;statWeek=16" TargetMode="External"/><Relationship Id="rId3" Type="http://schemas.openxmlformats.org/officeDocument/2006/relationships/hyperlink" Target="https://fantasy.nfl.com/research/projections?position=1&amp;sort=6&amp;statCategory=projectedStats&amp;statSeason=2025&amp;statType=seasonProjectedStats&amp;statWeek=16" TargetMode="External"/><Relationship Id="rId214" Type="http://schemas.openxmlformats.org/officeDocument/2006/relationships/hyperlink" Target="https://fantasy.nfl.com/research/projections?position=8&amp;sort=93&amp;statCategory=projectedStats&amp;statSeason=2025&amp;statType=seasonProjectedStats&amp;statWeek=16" TargetMode="External"/><Relationship Id="rId230" Type="http://schemas.openxmlformats.org/officeDocument/2006/relationships/hyperlink" Target="https://fantasy.nfl.com/research/projections?position=3&amp;sort=28&amp;statCategory=projectedStats&amp;statSeason=2025&amp;statType=seasonProjectedStats&amp;statWeek=16" TargetMode="External"/><Relationship Id="rId235" Type="http://schemas.openxmlformats.org/officeDocument/2006/relationships/hyperlink" Target="https://fantasy.nfl.com/players/card?leagueId=0&amp;playerId=2556075" TargetMode="External"/><Relationship Id="rId251" Type="http://schemas.openxmlformats.org/officeDocument/2006/relationships/hyperlink" Target="https://fantasy.nfl.com/research/projections?position=2&amp;sort=29&amp;statCategory=projectedStats&amp;statSeason=2025&amp;statType=seasonProjectedStats&amp;statWeek=16" TargetMode="External"/><Relationship Id="rId25" Type="http://schemas.openxmlformats.org/officeDocument/2006/relationships/hyperlink" Target="https://fantasy.nfl.com/players/card?leagueId=0&amp;playerId=2572294" TargetMode="External"/><Relationship Id="rId46" Type="http://schemas.openxmlformats.org/officeDocument/2006/relationships/hyperlink" Target="https://fantasy.nfl.com/players/card?leagueId=0&amp;playerId=2567328" TargetMode="External"/><Relationship Id="rId67" Type="http://schemas.openxmlformats.org/officeDocument/2006/relationships/hyperlink" Target="https://fantasy.nfl.com/players/card?leagueId=0&amp;playerId=2557976" TargetMode="External"/><Relationship Id="rId116" Type="http://schemas.openxmlformats.org/officeDocument/2006/relationships/hyperlink" Target="https://fantasy.nfl.com/players/card?leagueId=0&amp;playerId=2562492" TargetMode="External"/><Relationship Id="rId137" Type="http://schemas.openxmlformats.org/officeDocument/2006/relationships/hyperlink" Target="https://fantasy.nfl.com/research/projections?position=4&amp;sort=32&amp;statCategory=projectedStats&amp;statSeason=2025&amp;statType=seasonProjectedStats&amp;statWeek=16" TargetMode="External"/><Relationship Id="rId158" Type="http://schemas.openxmlformats.org/officeDocument/2006/relationships/hyperlink" Target="https://fantasy.nfl.com/players/card?leagueId=0&amp;playerId=2560994" TargetMode="External"/><Relationship Id="rId20" Type="http://schemas.openxmlformats.org/officeDocument/2006/relationships/hyperlink" Target="https://fantasy.nfl.com/players/card?leagueId=0&amp;playerId=2563722" TargetMode="External"/><Relationship Id="rId41" Type="http://schemas.openxmlformats.org/officeDocument/2006/relationships/hyperlink" Target="https://fantasy.nfl.com/players/card?leagueId=0&amp;playerId=2572546" TargetMode="External"/><Relationship Id="rId62" Type="http://schemas.openxmlformats.org/officeDocument/2006/relationships/hyperlink" Target="https://fantasy.nfl.com/players/card?leagueId=0&amp;playerId=2566157" TargetMode="External"/><Relationship Id="rId83" Type="http://schemas.openxmlformats.org/officeDocument/2006/relationships/hyperlink" Target="https://fantasy.nfl.com/players/card?leagueId=0&amp;playerId=2572162" TargetMode="External"/><Relationship Id="rId88" Type="http://schemas.openxmlformats.org/officeDocument/2006/relationships/hyperlink" Target="https://fantasy.nfl.com/players/card?leagueId=0&amp;playerId=2562238" TargetMode="External"/><Relationship Id="rId111" Type="http://schemas.openxmlformats.org/officeDocument/2006/relationships/hyperlink" Target="https://fantasy.nfl.com/players/card?leagueId=0&amp;playerId=2574217" TargetMode="External"/><Relationship Id="rId132" Type="http://schemas.openxmlformats.org/officeDocument/2006/relationships/hyperlink" Target="https://fantasy.nfl.com/research/projections?position=4&amp;sort=20&amp;statCategory=projectedStats&amp;statSeason=2025&amp;statType=seasonProjectedStats&amp;statWeek=16" TargetMode="External"/><Relationship Id="rId153" Type="http://schemas.openxmlformats.org/officeDocument/2006/relationships/hyperlink" Target="https://fantasy.nfl.com/players/card?leagueId=0&amp;playerId=2569594" TargetMode="External"/><Relationship Id="rId174" Type="http://schemas.openxmlformats.org/officeDocument/2006/relationships/hyperlink" Target="https://fantasy.nfl.com/players/card?leagueId=0&amp;playerId=2565953" TargetMode="External"/><Relationship Id="rId179" Type="http://schemas.openxmlformats.org/officeDocument/2006/relationships/hyperlink" Target="https://fantasy.nfl.com/players/card?leagueId=0&amp;playerId=2541556" TargetMode="External"/><Relationship Id="rId195" Type="http://schemas.openxmlformats.org/officeDocument/2006/relationships/hyperlink" Target="https://fantasy.nfl.com/players/card?leagueId=0&amp;playerId=100019" TargetMode="External"/><Relationship Id="rId209" Type="http://schemas.openxmlformats.org/officeDocument/2006/relationships/hyperlink" Target="https://fantasy.nfl.com/research/projections?position=7&amp;sort=33&amp;statCategory=projectedStats&amp;statSeason=2025&amp;statType=seasonProjectedStats&amp;statWeek=16" TargetMode="External"/><Relationship Id="rId190" Type="http://schemas.openxmlformats.org/officeDocument/2006/relationships/hyperlink" Target="https://fantasy.nfl.com/players/card?leagueId=0&amp;playerId=100002" TargetMode="External"/><Relationship Id="rId204" Type="http://schemas.openxmlformats.org/officeDocument/2006/relationships/hyperlink" Target="https://fantasy.nfl.com/research/projections?position=7&amp;sort=39&amp;statCategory=projectedStats&amp;statSeason=2025&amp;statType=seasonProjectedStats&amp;statWeek=16" TargetMode="External"/><Relationship Id="rId220" Type="http://schemas.openxmlformats.org/officeDocument/2006/relationships/hyperlink" Target="https://fantasy.nfl.com/research/projections?position=8&amp;sort=name&amp;statCategory=projectedStats&amp;statSeason=2025&amp;statType=seasonProjectedStats&amp;statWeek=16" TargetMode="External"/><Relationship Id="rId225" Type="http://schemas.openxmlformats.org/officeDocument/2006/relationships/hyperlink" Target="https://fantasy.nfl.com/research/projections?position=3&amp;sort=14&amp;statCategory=projectedStats&amp;statSeason=2025&amp;statType=seasonProjectedStats&amp;statWeek=16" TargetMode="External"/><Relationship Id="rId241" Type="http://schemas.openxmlformats.org/officeDocument/2006/relationships/hyperlink" Target="https://fantasy.nfl.com/research/projections?position=2&amp;sort=name&amp;statCategory=projectedStats&amp;statSeason=2025&amp;statType=seasonProjectedStats&amp;statWeek=16" TargetMode="External"/><Relationship Id="rId246" Type="http://schemas.openxmlformats.org/officeDocument/2006/relationships/hyperlink" Target="https://fantasy.nfl.com/research/projections?position=2&amp;sort=15&amp;statCategory=projectedStats&amp;statSeason=2025&amp;statType=seasonProjectedStats&amp;statWeek=16" TargetMode="External"/><Relationship Id="rId15" Type="http://schemas.openxmlformats.org/officeDocument/2006/relationships/hyperlink" Target="https://fantasy.nfl.com/players/card?leagueId=0&amp;playerId=2560757" TargetMode="External"/><Relationship Id="rId36" Type="http://schemas.openxmlformats.org/officeDocument/2006/relationships/hyperlink" Target="https://fantasy.nfl.com/players/card?leagueId=0&amp;playerId=2574164" TargetMode="External"/><Relationship Id="rId57" Type="http://schemas.openxmlformats.org/officeDocument/2006/relationships/hyperlink" Target="https://fantasy.nfl.com/players/card?leagueId=0&amp;playerId=2558116" TargetMode="External"/><Relationship Id="rId106" Type="http://schemas.openxmlformats.org/officeDocument/2006/relationships/hyperlink" Target="https://fantasy.nfl.com/players/card?leagueId=0&amp;playerId=2572186" TargetMode="External"/><Relationship Id="rId127" Type="http://schemas.openxmlformats.org/officeDocument/2006/relationships/hyperlink" Target="https://fantasy.nfl.com/research/projections?position=4&amp;sort=5&amp;statCategory=projectedStats&amp;statSeason=2025&amp;statType=seasonProjectedStats&amp;statWeek=16" TargetMode="External"/><Relationship Id="rId10" Type="http://schemas.openxmlformats.org/officeDocument/2006/relationships/hyperlink" Target="https://fantasy.nfl.com/research/projections?position=1&amp;sort=28&amp;statCategory=projectedStats&amp;statSeason=2025&amp;statType=seasonProjectedStats&amp;statWeek=16" TargetMode="External"/><Relationship Id="rId31" Type="http://schemas.openxmlformats.org/officeDocument/2006/relationships/hyperlink" Target="https://fantasy.nfl.com/players/card?leagueId=0&amp;playerId=2555260" TargetMode="External"/><Relationship Id="rId52" Type="http://schemas.openxmlformats.org/officeDocument/2006/relationships/hyperlink" Target="https://fantasy.nfl.com/players/card?leagueId=0&amp;playerId=2562502" TargetMode="External"/><Relationship Id="rId73" Type="http://schemas.openxmlformats.org/officeDocument/2006/relationships/hyperlink" Target="https://fantasy.nfl.com/players/card?leagueId=0&amp;playerId=2567232" TargetMode="External"/><Relationship Id="rId78" Type="http://schemas.openxmlformats.org/officeDocument/2006/relationships/hyperlink" Target="https://fantasy.nfl.com/players/card?leagueId=0&amp;playerId=2574235" TargetMode="External"/><Relationship Id="rId94" Type="http://schemas.openxmlformats.org/officeDocument/2006/relationships/hyperlink" Target="https://fantasy.nfl.com/players/card?leagueId=0&amp;playerId=2562489" TargetMode="External"/><Relationship Id="rId99" Type="http://schemas.openxmlformats.org/officeDocument/2006/relationships/hyperlink" Target="https://fantasy.nfl.com/players/card?leagueId=0&amp;playerId=2560813" TargetMode="External"/><Relationship Id="rId101" Type="http://schemas.openxmlformats.org/officeDocument/2006/relationships/hyperlink" Target="https://fantasy.nfl.com/players/card?leagueId=0&amp;playerId=2568159" TargetMode="External"/><Relationship Id="rId122" Type="http://schemas.openxmlformats.org/officeDocument/2006/relationships/hyperlink" Target="https://fantasy.nfl.com/players/card?leagueId=0&amp;playerId=2558105" TargetMode="External"/><Relationship Id="rId143" Type="http://schemas.openxmlformats.org/officeDocument/2006/relationships/hyperlink" Target="https://fantasy.nfl.com/players/card?leagueId=0&amp;playerId=2569726" TargetMode="External"/><Relationship Id="rId148" Type="http://schemas.openxmlformats.org/officeDocument/2006/relationships/hyperlink" Target="https://fantasy.nfl.com/players/card?leagueId=0&amp;playerId=2569768" TargetMode="External"/><Relationship Id="rId164" Type="http://schemas.openxmlformats.org/officeDocument/2006/relationships/hyperlink" Target="https://fantasy.nfl.com/players/card?leagueId=0&amp;playerId=2571750" TargetMode="External"/><Relationship Id="rId169" Type="http://schemas.openxmlformats.org/officeDocument/2006/relationships/hyperlink" Target="https://fantasy.nfl.com/players/card?leagueId=0&amp;playerId=2563203" TargetMode="External"/><Relationship Id="rId185" Type="http://schemas.openxmlformats.org/officeDocument/2006/relationships/hyperlink" Target="https://fantasy.nfl.com/players/card?leagueId=0&amp;playerId=2553112" TargetMode="External"/><Relationship Id="rId4" Type="http://schemas.openxmlformats.org/officeDocument/2006/relationships/hyperlink" Target="https://fantasy.nfl.com/research/projections?position=1&amp;sort=7&amp;statCategory=projectedStats&amp;statSeason=2025&amp;statType=seasonProjectedStats&amp;statWeek=16" TargetMode="External"/><Relationship Id="rId9" Type="http://schemas.openxmlformats.org/officeDocument/2006/relationships/hyperlink" Target="https://fantasy.nfl.com/research/projections?position=1&amp;sort=22&amp;statCategory=projectedStats&amp;statSeason=2025&amp;statType=seasonProjectedStats&amp;statWeek=16" TargetMode="External"/><Relationship Id="rId180" Type="http://schemas.openxmlformats.org/officeDocument/2006/relationships/hyperlink" Target="https://fantasy.nfl.com/players/card?leagueId=0&amp;playerId=2570308" TargetMode="External"/><Relationship Id="rId210" Type="http://schemas.openxmlformats.org/officeDocument/2006/relationships/hyperlink" Target="https://fantasy.nfl.com/research/projections?position=7&amp;sort=name&amp;statCategory=projectedStats&amp;statSeason=2025&amp;statType=seasonProjectedStats&amp;statWeek=16" TargetMode="External"/><Relationship Id="rId215" Type="http://schemas.openxmlformats.org/officeDocument/2006/relationships/hyperlink" Target="https://fantasy.nfl.com/research/projections?position=8&amp;sort=50&amp;statCategory=projectedStats&amp;statSeason=2025&amp;statType=seasonProjectedStats&amp;statWeek=16" TargetMode="External"/><Relationship Id="rId236" Type="http://schemas.openxmlformats.org/officeDocument/2006/relationships/hyperlink" Target="https://fantasy.nfl.com/players/card?leagueId=0&amp;playerId=2570062" TargetMode="External"/><Relationship Id="rId26" Type="http://schemas.openxmlformats.org/officeDocument/2006/relationships/hyperlink" Target="https://fantasy.nfl.com/players/card?leagueId=0&amp;playerId=2572270" TargetMode="External"/><Relationship Id="rId231" Type="http://schemas.openxmlformats.org/officeDocument/2006/relationships/hyperlink" Target="https://fantasy.nfl.com/research/projections?position=3&amp;sort=29&amp;statCategory=projectedStats&amp;statSeason=2025&amp;statType=seasonProjectedStats&amp;statWeek=16" TargetMode="External"/><Relationship Id="rId252" Type="http://schemas.openxmlformats.org/officeDocument/2006/relationships/hyperlink" Target="https://fantasy.nfl.com/research/projections?position=2&amp;sort=32&amp;statCategory=projectedStats&amp;statSeason=2025&amp;statType=seasonProjectedStats&amp;statWeek=16" TargetMode="External"/><Relationship Id="rId47" Type="http://schemas.openxmlformats.org/officeDocument/2006/relationships/hyperlink" Target="https://fantasy.nfl.com/players/card?leagueId=0&amp;playerId=2568030" TargetMode="External"/><Relationship Id="rId68" Type="http://schemas.openxmlformats.org/officeDocument/2006/relationships/hyperlink" Target="https://fantasy.nfl.com/players/card?leagueId=0&amp;playerId=2566343" TargetMode="External"/><Relationship Id="rId89" Type="http://schemas.openxmlformats.org/officeDocument/2006/relationships/hyperlink" Target="https://fantasy.nfl.com/players/card?leagueId=0&amp;playerId=2572477" TargetMode="External"/><Relationship Id="rId112" Type="http://schemas.openxmlformats.org/officeDocument/2006/relationships/hyperlink" Target="https://fantasy.nfl.com/players/card?leagueId=0&amp;playerId=2569573" TargetMode="External"/><Relationship Id="rId133" Type="http://schemas.openxmlformats.org/officeDocument/2006/relationships/hyperlink" Target="https://fantasy.nfl.com/research/projections?position=4&amp;sort=21&amp;statCategory=projectedStats&amp;statSeason=2025&amp;statType=seasonProjectedStats&amp;statWeek=16" TargetMode="External"/><Relationship Id="rId154" Type="http://schemas.openxmlformats.org/officeDocument/2006/relationships/hyperlink" Target="https://fantasy.nfl.com/players/card?leagueId=0&amp;playerId=2567658" TargetMode="External"/><Relationship Id="rId175" Type="http://schemas.openxmlformats.org/officeDocument/2006/relationships/hyperlink" Target="https://fantasy.nfl.com/players/card?leagueId=0&amp;playerId=2572273" TargetMode="External"/><Relationship Id="rId196" Type="http://schemas.openxmlformats.org/officeDocument/2006/relationships/hyperlink" Target="https://fantasy.nfl.com/players/card?leagueId=0&amp;playerId=100029" TargetMode="External"/><Relationship Id="rId200" Type="http://schemas.openxmlformats.org/officeDocument/2006/relationships/hyperlink" Target="https://fantasy.nfl.com/players/card?leagueId=0&amp;playerId=100023" TargetMode="External"/><Relationship Id="rId16" Type="http://schemas.openxmlformats.org/officeDocument/2006/relationships/hyperlink" Target="https://fantasy.nfl.com/players/card?leagueId=0&amp;playerId=2560955" TargetMode="External"/><Relationship Id="rId221" Type="http://schemas.openxmlformats.org/officeDocument/2006/relationships/hyperlink" Target="https://fantasy.nfl.com/research/projections?position=3&amp;sort=name&amp;statCategory=projectedStats&amp;statSeason=2025&amp;statType=seasonProjectedStats&amp;statWeek=16" TargetMode="External"/><Relationship Id="rId242" Type="http://schemas.openxmlformats.org/officeDocument/2006/relationships/hyperlink" Target="https://fantasy.nfl.com/research/projections?position=2&amp;sort=5&amp;statCategory=projectedStats&amp;statSeason=2025&amp;statType=seasonProjectedStats&amp;statWeek=16" TargetMode="External"/><Relationship Id="rId37" Type="http://schemas.openxmlformats.org/officeDocument/2006/relationships/hyperlink" Target="https://fantasy.nfl.com/players/card?leagueId=0&amp;playerId=79860" TargetMode="External"/><Relationship Id="rId58" Type="http://schemas.openxmlformats.org/officeDocument/2006/relationships/hyperlink" Target="https://fantasy.nfl.com/players/card?leagueId=0&amp;playerId=2574496" TargetMode="External"/><Relationship Id="rId79" Type="http://schemas.openxmlformats.org/officeDocument/2006/relationships/hyperlink" Target="https://fantasy.nfl.com/players/card?leagueId=0&amp;playerId=2565941" TargetMode="External"/><Relationship Id="rId102" Type="http://schemas.openxmlformats.org/officeDocument/2006/relationships/hyperlink" Target="https://fantasy.nfl.com/players/card?leagueId=0&amp;playerId=2563896" TargetMode="External"/><Relationship Id="rId123" Type="http://schemas.openxmlformats.org/officeDocument/2006/relationships/hyperlink" Target="https://fantasy.nfl.com/players/card?leagueId=0&amp;playerId=2569861" TargetMode="External"/><Relationship Id="rId144" Type="http://schemas.openxmlformats.org/officeDocument/2006/relationships/hyperlink" Target="https://fantasy.nfl.com/players/card?leagueId=0&amp;playerId=2562378" TargetMode="External"/><Relationship Id="rId90" Type="http://schemas.openxmlformats.org/officeDocument/2006/relationships/hyperlink" Target="https://fantasy.nfl.com/players/card?leagueId=0&amp;playerId=2568048" TargetMode="External"/><Relationship Id="rId165" Type="http://schemas.openxmlformats.org/officeDocument/2006/relationships/hyperlink" Target="https://fantasy.nfl.com/players/card?leagueId=0&amp;playerId=2568435" TargetMode="External"/><Relationship Id="rId186" Type="http://schemas.openxmlformats.org/officeDocument/2006/relationships/hyperlink" Target="https://fantasy.nfl.com/players/card?leagueId=0&amp;playerId=2571234" TargetMode="External"/><Relationship Id="rId211" Type="http://schemas.openxmlformats.org/officeDocument/2006/relationships/hyperlink" Target="https://fantasy.nfl.com/research/projections?position=8&amp;sort=projectedPts&amp;statCategory=projectedStats&amp;statSeason=2025&amp;statType=seasonProjectedStats&amp;statWeek=16" TargetMode="External"/><Relationship Id="rId232" Type="http://schemas.openxmlformats.org/officeDocument/2006/relationships/hyperlink" Target="https://fantasy.nfl.com/research/projections?position=3&amp;sort=32&amp;statCategory=projectedStats&amp;statSeason=2025&amp;statType=seasonProjectedStats&amp;statWeek=16" TargetMode="External"/><Relationship Id="rId253" Type="http://schemas.openxmlformats.org/officeDocument/2006/relationships/hyperlink" Target="https://fantasy.nfl.com/research/projections?position=2&amp;sort=30&amp;statCategory=projectedStats&amp;statSeason=2025&amp;statType=seasonProjectedStats&amp;statWeek=16" TargetMode="External"/><Relationship Id="rId27" Type="http://schemas.openxmlformats.org/officeDocument/2006/relationships/hyperlink" Target="https://fantasy.nfl.com/players/card?leagueId=0&amp;playerId=2571913" TargetMode="External"/><Relationship Id="rId48" Type="http://schemas.openxmlformats.org/officeDocument/2006/relationships/hyperlink" Target="https://fantasy.nfl.com/players/card?leagueId=0&amp;playerId=2565899" TargetMode="External"/><Relationship Id="rId69" Type="http://schemas.openxmlformats.org/officeDocument/2006/relationships/hyperlink" Target="https://fantasy.nfl.com/players/card?leagueId=0&amp;playerId=2574608" TargetMode="External"/><Relationship Id="rId113" Type="http://schemas.openxmlformats.org/officeDocument/2006/relationships/hyperlink" Target="https://fantasy.nfl.com/players/card?leagueId=0&amp;playerId=2574585" TargetMode="External"/><Relationship Id="rId134" Type="http://schemas.openxmlformats.org/officeDocument/2006/relationships/hyperlink" Target="https://fantasy.nfl.com/research/projections?position=4&amp;sort=22&amp;statCategory=projectedStats&amp;statSeason=2025&amp;statType=seasonProjectedStats&amp;statWeek=16" TargetMode="External"/><Relationship Id="rId80" Type="http://schemas.openxmlformats.org/officeDocument/2006/relationships/hyperlink" Target="https://fantasy.nfl.com/players/card?leagueId=0&amp;playerId=2563848" TargetMode="External"/><Relationship Id="rId155" Type="http://schemas.openxmlformats.org/officeDocument/2006/relationships/hyperlink" Target="https://fantasy.nfl.com/players/card?leagueId=0&amp;playerId=2565830" TargetMode="External"/><Relationship Id="rId176" Type="http://schemas.openxmlformats.org/officeDocument/2006/relationships/hyperlink" Target="https://fantasy.nfl.com/players/card?leagueId=0&amp;playerId=2556601" TargetMode="External"/><Relationship Id="rId197" Type="http://schemas.openxmlformats.org/officeDocument/2006/relationships/hyperlink" Target="https://fantasy.nfl.com/players/card?leagueId=0&amp;playerId=100031" TargetMode="External"/><Relationship Id="rId201" Type="http://schemas.openxmlformats.org/officeDocument/2006/relationships/hyperlink" Target="https://fantasy.nfl.com/players/card?leagueId=0&amp;playerId=100024" TargetMode="External"/><Relationship Id="rId222" Type="http://schemas.openxmlformats.org/officeDocument/2006/relationships/hyperlink" Target="https://fantasy.nfl.com/research/projections?position=3&amp;sort=5&amp;statCategory=projectedStats&amp;statSeason=2025&amp;statType=seasonProjectedStats&amp;statWeek=16" TargetMode="External"/><Relationship Id="rId243" Type="http://schemas.openxmlformats.org/officeDocument/2006/relationships/hyperlink" Target="https://fantasy.nfl.com/research/projections?position=2&amp;sort=6&amp;statCategory=projectedStats&amp;statSeason=2025&amp;statType=seasonProjectedStats&amp;statWeek=16" TargetMode="External"/><Relationship Id="rId17" Type="http://schemas.openxmlformats.org/officeDocument/2006/relationships/hyperlink" Target="https://fantasy.nfl.com/players/card?leagueId=0&amp;playerId=2564832" TargetMode="External"/><Relationship Id="rId38" Type="http://schemas.openxmlformats.org/officeDocument/2006/relationships/hyperlink" Target="https://fantasy.nfl.com/players/card?leagueId=0&amp;playerId=2539335" TargetMode="External"/><Relationship Id="rId59" Type="http://schemas.openxmlformats.org/officeDocument/2006/relationships/hyperlink" Target="https://fantasy.nfl.com/players/card?leagueId=0&amp;playerId=2563548" TargetMode="External"/><Relationship Id="rId103" Type="http://schemas.openxmlformats.org/officeDocument/2006/relationships/hyperlink" Target="https://fantasy.nfl.com/players/card?leagueId=0&amp;playerId=2560854" TargetMode="External"/><Relationship Id="rId124" Type="http://schemas.openxmlformats.org/officeDocument/2006/relationships/hyperlink" Target="https://fantasy.nfl.com/players/card?leagueId=0&amp;playerId=25697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E8B5-0A39-44A0-809C-ADB168B3E712}">
  <dimension ref="A1:H36"/>
  <sheetViews>
    <sheetView workbookViewId="0">
      <selection activeCell="F1" sqref="F1:H36"/>
    </sheetView>
  </sheetViews>
  <sheetFormatPr defaultRowHeight="14.5" x14ac:dyDescent="0.35"/>
  <cols>
    <col min="1" max="1" width="7.90625" bestFit="1" customWidth="1"/>
    <col min="2" max="2" width="11.7265625" bestFit="1" customWidth="1"/>
    <col min="4" max="4" width="17" bestFit="1" customWidth="1"/>
    <col min="6" max="6" width="22.90625" bestFit="1" customWidth="1"/>
    <col min="7" max="7" width="16.08984375" bestFit="1" customWidth="1"/>
  </cols>
  <sheetData>
    <row r="1" spans="1:8" x14ac:dyDescent="0.35">
      <c r="A1" s="4" t="s">
        <v>290</v>
      </c>
      <c r="B1" s="4" t="s">
        <v>289</v>
      </c>
      <c r="D1" s="4" t="s">
        <v>291</v>
      </c>
      <c r="F1" s="5" t="s">
        <v>7</v>
      </c>
      <c r="G1" s="5"/>
      <c r="H1" s="5"/>
    </row>
    <row r="2" spans="1:8" x14ac:dyDescent="0.35">
      <c r="A2" s="4">
        <v>1</v>
      </c>
      <c r="B2" s="4" t="s">
        <v>306</v>
      </c>
      <c r="D2" s="4" t="s">
        <v>0</v>
      </c>
      <c r="F2" s="5" t="s">
        <v>19</v>
      </c>
      <c r="G2" s="5"/>
      <c r="H2" s="5"/>
    </row>
    <row r="3" spans="1:8" x14ac:dyDescent="0.35">
      <c r="A3" s="4">
        <v>2</v>
      </c>
      <c r="B3" s="4" t="s">
        <v>298</v>
      </c>
      <c r="D3" s="4" t="s">
        <v>1</v>
      </c>
      <c r="F3" s="4" t="s">
        <v>8</v>
      </c>
      <c r="G3" s="4">
        <f>1/25</f>
        <v>0.04</v>
      </c>
      <c r="H3" s="4"/>
    </row>
    <row r="4" spans="1:8" x14ac:dyDescent="0.35">
      <c r="A4" s="4">
        <v>3</v>
      </c>
      <c r="B4" s="4" t="s">
        <v>311</v>
      </c>
      <c r="D4" s="4" t="s">
        <v>1</v>
      </c>
      <c r="F4" s="4" t="s">
        <v>9</v>
      </c>
      <c r="G4" s="4">
        <v>4</v>
      </c>
      <c r="H4" s="4"/>
    </row>
    <row r="5" spans="1:8" x14ac:dyDescent="0.35">
      <c r="A5" s="4">
        <v>4</v>
      </c>
      <c r="B5" s="4" t="s">
        <v>299</v>
      </c>
      <c r="D5" s="4" t="s">
        <v>2</v>
      </c>
      <c r="F5" s="4" t="s">
        <v>10</v>
      </c>
      <c r="G5" s="4">
        <v>-2</v>
      </c>
      <c r="H5" s="4"/>
    </row>
    <row r="6" spans="1:8" x14ac:dyDescent="0.35">
      <c r="A6" s="4">
        <v>5</v>
      </c>
      <c r="B6" s="4" t="s">
        <v>300</v>
      </c>
      <c r="D6" s="4" t="s">
        <v>2</v>
      </c>
      <c r="F6" s="4" t="s">
        <v>11</v>
      </c>
      <c r="G6" s="4">
        <v>0.1</v>
      </c>
      <c r="H6" s="4"/>
    </row>
    <row r="7" spans="1:8" x14ac:dyDescent="0.35">
      <c r="A7" s="4">
        <v>6</v>
      </c>
      <c r="B7" s="4" t="s">
        <v>301</v>
      </c>
      <c r="D7" s="4" t="s">
        <v>3</v>
      </c>
      <c r="F7" s="4" t="s">
        <v>12</v>
      </c>
      <c r="G7" s="4">
        <v>6</v>
      </c>
      <c r="H7" s="4"/>
    </row>
    <row r="8" spans="1:8" x14ac:dyDescent="0.35">
      <c r="A8" s="4">
        <v>7</v>
      </c>
      <c r="B8" s="4" t="s">
        <v>302</v>
      </c>
      <c r="D8" s="4" t="s">
        <v>4</v>
      </c>
      <c r="F8" s="4" t="s">
        <v>13</v>
      </c>
      <c r="G8" s="4">
        <v>0.1</v>
      </c>
      <c r="H8" s="4"/>
    </row>
    <row r="9" spans="1:8" x14ac:dyDescent="0.35">
      <c r="A9" s="4">
        <v>8</v>
      </c>
      <c r="B9" s="4" t="s">
        <v>303</v>
      </c>
      <c r="D9" s="4" t="s">
        <v>6</v>
      </c>
      <c r="F9" s="4" t="s">
        <v>14</v>
      </c>
      <c r="G9" s="4">
        <v>6</v>
      </c>
      <c r="H9" s="4"/>
    </row>
    <row r="10" spans="1:8" x14ac:dyDescent="0.35">
      <c r="A10" s="4">
        <v>9</v>
      </c>
      <c r="B10" s="4" t="s">
        <v>304</v>
      </c>
      <c r="D10" s="4" t="s">
        <v>5</v>
      </c>
      <c r="F10" s="4" t="s">
        <v>15</v>
      </c>
      <c r="G10" s="4">
        <v>6</v>
      </c>
      <c r="H10" s="4"/>
    </row>
    <row r="11" spans="1:8" x14ac:dyDescent="0.35">
      <c r="A11" s="4">
        <v>10</v>
      </c>
      <c r="B11" s="4" t="s">
        <v>305</v>
      </c>
      <c r="D11" s="4" t="s">
        <v>296</v>
      </c>
      <c r="F11" s="4" t="s">
        <v>16</v>
      </c>
      <c r="G11" s="4">
        <v>2</v>
      </c>
      <c r="H11" s="4"/>
    </row>
    <row r="12" spans="1:8" x14ac:dyDescent="0.35">
      <c r="A12" s="4">
        <v>11</v>
      </c>
      <c r="B12" s="4" t="s">
        <v>297</v>
      </c>
      <c r="D12" s="4" t="s">
        <v>292</v>
      </c>
      <c r="F12" s="4" t="s">
        <v>17</v>
      </c>
      <c r="G12" s="4">
        <v>-2</v>
      </c>
      <c r="H12" s="4"/>
    </row>
    <row r="13" spans="1:8" x14ac:dyDescent="0.35">
      <c r="A13" s="4">
        <v>12</v>
      </c>
      <c r="B13" s="4" t="s">
        <v>307</v>
      </c>
      <c r="D13" s="4" t="s">
        <v>293</v>
      </c>
      <c r="F13" s="4" t="s">
        <v>18</v>
      </c>
      <c r="G13" s="4">
        <v>6</v>
      </c>
      <c r="H13" s="4"/>
    </row>
    <row r="14" spans="1:8" x14ac:dyDescent="0.35">
      <c r="D14" s="4" t="s">
        <v>294</v>
      </c>
      <c r="F14" s="5" t="s">
        <v>20</v>
      </c>
      <c r="G14" s="5"/>
      <c r="H14" s="5"/>
    </row>
    <row r="15" spans="1:8" x14ac:dyDescent="0.35">
      <c r="D15" s="4" t="s">
        <v>295</v>
      </c>
      <c r="F15" s="4" t="s">
        <v>21</v>
      </c>
      <c r="G15" s="4">
        <v>3</v>
      </c>
      <c r="H15" s="4"/>
    </row>
    <row r="16" spans="1:8" x14ac:dyDescent="0.35">
      <c r="F16" s="4" t="s">
        <v>22</v>
      </c>
      <c r="G16" s="4">
        <v>3</v>
      </c>
      <c r="H16" s="4"/>
    </row>
    <row r="17" spans="6:8" x14ac:dyDescent="0.35">
      <c r="F17" s="4" t="s">
        <v>23</v>
      </c>
      <c r="G17" s="4">
        <v>3</v>
      </c>
      <c r="H17" s="4"/>
    </row>
    <row r="18" spans="6:8" x14ac:dyDescent="0.35">
      <c r="F18" s="4" t="s">
        <v>24</v>
      </c>
      <c r="G18" s="4">
        <v>4</v>
      </c>
      <c r="H18" s="4"/>
    </row>
    <row r="19" spans="6:8" x14ac:dyDescent="0.35">
      <c r="F19" s="4" t="s">
        <v>25</v>
      </c>
      <c r="G19" s="4">
        <v>5</v>
      </c>
      <c r="H19" s="4"/>
    </row>
    <row r="20" spans="6:8" x14ac:dyDescent="0.35">
      <c r="F20" s="4" t="s">
        <v>40</v>
      </c>
      <c r="G20" s="4">
        <v>1</v>
      </c>
      <c r="H20" s="4"/>
    </row>
    <row r="21" spans="6:8" x14ac:dyDescent="0.35">
      <c r="F21" s="5" t="s">
        <v>313</v>
      </c>
      <c r="G21" s="5"/>
      <c r="H21" s="5"/>
    </row>
    <row r="22" spans="6:8" x14ac:dyDescent="0.35">
      <c r="F22" s="4" t="s">
        <v>26</v>
      </c>
      <c r="G22" s="4">
        <v>1</v>
      </c>
      <c r="H22" s="4"/>
    </row>
    <row r="23" spans="6:8" x14ac:dyDescent="0.35">
      <c r="F23" s="4" t="s">
        <v>10</v>
      </c>
      <c r="G23" s="4">
        <v>2</v>
      </c>
      <c r="H23" s="4"/>
    </row>
    <row r="24" spans="6:8" x14ac:dyDescent="0.35">
      <c r="F24" s="4" t="s">
        <v>27</v>
      </c>
      <c r="G24" s="4">
        <v>2</v>
      </c>
      <c r="H24" s="4"/>
    </row>
    <row r="25" spans="6:8" x14ac:dyDescent="0.35">
      <c r="F25" s="4" t="s">
        <v>28</v>
      </c>
      <c r="G25" s="4">
        <v>6</v>
      </c>
      <c r="H25" s="4"/>
    </row>
    <row r="26" spans="6:8" x14ac:dyDescent="0.35">
      <c r="F26" s="4" t="s">
        <v>29</v>
      </c>
      <c r="G26" s="4">
        <v>5</v>
      </c>
      <c r="H26" s="4"/>
    </row>
    <row r="27" spans="6:8" x14ac:dyDescent="0.35">
      <c r="F27" s="4" t="s">
        <v>30</v>
      </c>
      <c r="G27" s="4">
        <v>5</v>
      </c>
      <c r="H27" s="4"/>
    </row>
    <row r="28" spans="6:8" x14ac:dyDescent="0.35">
      <c r="F28" s="4" t="s">
        <v>31</v>
      </c>
      <c r="G28" s="4">
        <v>6</v>
      </c>
      <c r="H28" s="4"/>
    </row>
    <row r="29" spans="6:8" x14ac:dyDescent="0.35">
      <c r="F29" s="4" t="s">
        <v>32</v>
      </c>
      <c r="G29" s="4">
        <v>15</v>
      </c>
      <c r="H29" s="4"/>
    </row>
    <row r="30" spans="6:8" x14ac:dyDescent="0.35">
      <c r="F30" s="4" t="s">
        <v>33</v>
      </c>
      <c r="G30" s="4">
        <v>10</v>
      </c>
      <c r="H30" s="4"/>
    </row>
    <row r="31" spans="6:8" x14ac:dyDescent="0.35">
      <c r="F31" s="4" t="s">
        <v>34</v>
      </c>
      <c r="G31" s="4">
        <v>8</v>
      </c>
      <c r="H31" s="4"/>
    </row>
    <row r="32" spans="6:8" x14ac:dyDescent="0.35">
      <c r="F32" s="4" t="s">
        <v>35</v>
      </c>
      <c r="G32" s="4">
        <v>5</v>
      </c>
      <c r="H32" s="4"/>
    </row>
    <row r="33" spans="6:8" x14ac:dyDescent="0.35">
      <c r="F33" s="4" t="s">
        <v>36</v>
      </c>
      <c r="G33" s="4">
        <v>1</v>
      </c>
      <c r="H33" s="4"/>
    </row>
    <row r="34" spans="6:8" x14ac:dyDescent="0.35">
      <c r="F34" s="4" t="s">
        <v>37</v>
      </c>
      <c r="G34" s="4">
        <v>-1</v>
      </c>
      <c r="H34" s="4"/>
    </row>
    <row r="35" spans="6:8" x14ac:dyDescent="0.35">
      <c r="F35" s="4" t="s">
        <v>38</v>
      </c>
      <c r="G35" s="4">
        <v>-4</v>
      </c>
      <c r="H35" s="4"/>
    </row>
    <row r="36" spans="6:8" x14ac:dyDescent="0.35">
      <c r="F36" s="4" t="s">
        <v>39</v>
      </c>
      <c r="G36" s="4">
        <v>2</v>
      </c>
      <c r="H36" s="4"/>
    </row>
  </sheetData>
  <mergeCells count="4">
    <mergeCell ref="F2:H2"/>
    <mergeCell ref="F1:H1"/>
    <mergeCell ref="F14:H14"/>
    <mergeCell ref="F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F40E-F84E-463E-A253-0930BC333C70}">
  <dimension ref="A1:N65"/>
  <sheetViews>
    <sheetView topLeftCell="A19" zoomScaleNormal="100" workbookViewId="0">
      <selection activeCell="O8" sqref="O8"/>
    </sheetView>
  </sheetViews>
  <sheetFormatPr defaultRowHeight="14.5" x14ac:dyDescent="0.35"/>
  <sheetData>
    <row r="1" spans="1:14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A2">
        <v>2016</v>
      </c>
      <c r="B2" t="s">
        <v>297</v>
      </c>
      <c r="C2" t="s">
        <v>298</v>
      </c>
      <c r="D2" t="s">
        <v>311</v>
      </c>
      <c r="E2" t="s">
        <v>299</v>
      </c>
      <c r="F2" t="s">
        <v>300</v>
      </c>
      <c r="G2" t="s">
        <v>301</v>
      </c>
      <c r="H2" t="s">
        <v>302</v>
      </c>
      <c r="I2" t="s">
        <v>303</v>
      </c>
      <c r="J2" t="s">
        <v>304</v>
      </c>
      <c r="K2" t="s">
        <v>305</v>
      </c>
      <c r="L2" t="s">
        <v>306</v>
      </c>
      <c r="M2" t="s">
        <v>307</v>
      </c>
      <c r="N2" s="3"/>
    </row>
    <row r="3" spans="1:14" x14ac:dyDescent="0.35">
      <c r="A3">
        <v>1</v>
      </c>
      <c r="B3" t="s">
        <v>42</v>
      </c>
      <c r="C3" t="s">
        <v>42</v>
      </c>
      <c r="D3" t="s">
        <v>44</v>
      </c>
      <c r="E3" t="s">
        <v>44</v>
      </c>
      <c r="F3" t="s">
        <v>44</v>
      </c>
      <c r="G3" t="s">
        <v>42</v>
      </c>
      <c r="H3" t="s">
        <v>44</v>
      </c>
      <c r="I3" t="s">
        <v>42</v>
      </c>
      <c r="J3" t="s">
        <v>44</v>
      </c>
      <c r="K3" t="s">
        <v>68</v>
      </c>
      <c r="L3" t="s">
        <v>42</v>
      </c>
      <c r="M3" t="s">
        <v>44</v>
      </c>
      <c r="N3" s="3"/>
    </row>
    <row r="4" spans="1:14" x14ac:dyDescent="0.35">
      <c r="A4">
        <f>A3+1</f>
        <v>2</v>
      </c>
      <c r="B4" t="s">
        <v>42</v>
      </c>
      <c r="C4" t="s">
        <v>44</v>
      </c>
      <c r="D4" t="s">
        <v>42</v>
      </c>
      <c r="E4" t="s">
        <v>42</v>
      </c>
      <c r="F4" t="s">
        <v>44</v>
      </c>
      <c r="G4" t="s">
        <v>44</v>
      </c>
      <c r="H4" t="s">
        <v>42</v>
      </c>
      <c r="I4" t="s">
        <v>42</v>
      </c>
      <c r="J4" t="s">
        <v>78</v>
      </c>
      <c r="K4" t="s">
        <v>44</v>
      </c>
      <c r="L4" t="s">
        <v>44</v>
      </c>
      <c r="M4" t="s">
        <v>42</v>
      </c>
      <c r="N4" s="3"/>
    </row>
    <row r="5" spans="1:14" x14ac:dyDescent="0.35">
      <c r="A5">
        <f t="shared" ref="A5:A16" si="0">A4+1</f>
        <v>3</v>
      </c>
      <c r="B5" t="s">
        <v>44</v>
      </c>
      <c r="C5" t="s">
        <v>42</v>
      </c>
      <c r="D5" t="s">
        <v>42</v>
      </c>
      <c r="E5" t="s">
        <v>78</v>
      </c>
      <c r="F5" t="s">
        <v>42</v>
      </c>
      <c r="G5" t="s">
        <v>44</v>
      </c>
      <c r="H5" t="s">
        <v>44</v>
      </c>
      <c r="I5" t="s">
        <v>44</v>
      </c>
      <c r="J5" t="s">
        <v>42</v>
      </c>
      <c r="K5" t="s">
        <v>42</v>
      </c>
      <c r="L5" t="s">
        <v>68</v>
      </c>
      <c r="M5" t="s">
        <v>42</v>
      </c>
      <c r="N5" s="3"/>
    </row>
    <row r="6" spans="1:14" x14ac:dyDescent="0.35">
      <c r="A6">
        <f t="shared" si="0"/>
        <v>4</v>
      </c>
      <c r="B6" t="s">
        <v>44</v>
      </c>
      <c r="C6" t="s">
        <v>68</v>
      </c>
      <c r="D6" t="s">
        <v>44</v>
      </c>
      <c r="E6" t="s">
        <v>68</v>
      </c>
      <c r="F6" t="s">
        <v>42</v>
      </c>
      <c r="G6" t="s">
        <v>42</v>
      </c>
      <c r="H6" t="s">
        <v>42</v>
      </c>
      <c r="I6" t="s">
        <v>44</v>
      </c>
      <c r="J6" t="s">
        <v>6</v>
      </c>
      <c r="K6" t="s">
        <v>78</v>
      </c>
      <c r="L6" t="s">
        <v>44</v>
      </c>
      <c r="M6" t="s">
        <v>44</v>
      </c>
      <c r="N6" s="3"/>
    </row>
    <row r="7" spans="1:14" x14ac:dyDescent="0.35">
      <c r="A7">
        <f t="shared" si="0"/>
        <v>5</v>
      </c>
      <c r="B7" t="s">
        <v>68</v>
      </c>
      <c r="C7" t="s">
        <v>78</v>
      </c>
      <c r="D7" t="s">
        <v>78</v>
      </c>
      <c r="E7" t="s">
        <v>44</v>
      </c>
      <c r="F7" t="s">
        <v>68</v>
      </c>
      <c r="G7" t="s">
        <v>78</v>
      </c>
      <c r="H7" t="s">
        <v>308</v>
      </c>
      <c r="I7" t="s">
        <v>78</v>
      </c>
      <c r="J7" t="s">
        <v>309</v>
      </c>
      <c r="K7" t="s">
        <v>44</v>
      </c>
      <c r="L7" t="s">
        <v>42</v>
      </c>
      <c r="M7" t="s">
        <v>42</v>
      </c>
      <c r="N7" s="3"/>
    </row>
    <row r="8" spans="1:14" x14ac:dyDescent="0.35">
      <c r="A8">
        <f t="shared" si="0"/>
        <v>6</v>
      </c>
      <c r="B8" t="s">
        <v>78</v>
      </c>
      <c r="C8" t="s">
        <v>44</v>
      </c>
      <c r="D8" t="s">
        <v>68</v>
      </c>
      <c r="E8" t="s">
        <v>42</v>
      </c>
      <c r="F8" t="s">
        <v>44</v>
      </c>
      <c r="G8" t="s">
        <v>68</v>
      </c>
      <c r="H8" t="s">
        <v>78</v>
      </c>
      <c r="I8" t="s">
        <v>68</v>
      </c>
      <c r="J8" t="s">
        <v>42</v>
      </c>
      <c r="K8" t="s">
        <v>42</v>
      </c>
      <c r="L8" t="s">
        <v>78</v>
      </c>
      <c r="M8" t="s">
        <v>68</v>
      </c>
      <c r="N8" s="3"/>
    </row>
    <row r="9" spans="1:14" x14ac:dyDescent="0.35">
      <c r="A9">
        <f t="shared" si="0"/>
        <v>7</v>
      </c>
      <c r="B9" t="s">
        <v>42</v>
      </c>
      <c r="C9" t="s">
        <v>42</v>
      </c>
      <c r="D9" t="s">
        <v>42</v>
      </c>
      <c r="E9" t="s">
        <v>309</v>
      </c>
      <c r="F9" t="s">
        <v>309</v>
      </c>
      <c r="G9" t="s">
        <v>44</v>
      </c>
      <c r="H9" t="s">
        <v>309</v>
      </c>
      <c r="I9" t="s">
        <v>44</v>
      </c>
      <c r="J9" t="s">
        <v>309</v>
      </c>
      <c r="K9" t="s">
        <v>42</v>
      </c>
      <c r="L9" t="s">
        <v>42</v>
      </c>
      <c r="M9" t="s">
        <v>309</v>
      </c>
      <c r="N9" s="3"/>
    </row>
    <row r="10" spans="1:14" x14ac:dyDescent="0.35">
      <c r="A10">
        <f t="shared" si="0"/>
        <v>8</v>
      </c>
      <c r="B10" t="s">
        <v>310</v>
      </c>
      <c r="C10" t="s">
        <v>309</v>
      </c>
      <c r="D10" t="s">
        <v>309</v>
      </c>
      <c r="E10" t="s">
        <v>6</v>
      </c>
      <c r="F10" t="s">
        <v>6</v>
      </c>
      <c r="G10" t="s">
        <v>309</v>
      </c>
      <c r="H10" t="s">
        <v>6</v>
      </c>
      <c r="I10" t="s">
        <v>6</v>
      </c>
      <c r="J10" t="s">
        <v>44</v>
      </c>
      <c r="K10" t="s">
        <v>309</v>
      </c>
      <c r="L10" t="s">
        <v>309</v>
      </c>
      <c r="M10" t="s">
        <v>6</v>
      </c>
      <c r="N10" s="3"/>
    </row>
    <row r="11" spans="1:14" x14ac:dyDescent="0.35">
      <c r="A11">
        <f t="shared" si="0"/>
        <v>9</v>
      </c>
      <c r="B11" t="s">
        <v>6</v>
      </c>
      <c r="C11" t="s">
        <v>6</v>
      </c>
      <c r="D11" t="s">
        <v>6</v>
      </c>
      <c r="E11" t="s">
        <v>44</v>
      </c>
      <c r="F11" t="s">
        <v>78</v>
      </c>
      <c r="G11" t="s">
        <v>6</v>
      </c>
      <c r="H11" t="s">
        <v>68</v>
      </c>
      <c r="I11" t="s">
        <v>309</v>
      </c>
      <c r="J11" t="s">
        <v>42</v>
      </c>
      <c r="K11" t="s">
        <v>6</v>
      </c>
      <c r="L11" t="s">
        <v>6</v>
      </c>
      <c r="M11" t="s">
        <v>78</v>
      </c>
      <c r="N11" s="3"/>
    </row>
    <row r="12" spans="1:14" x14ac:dyDescent="0.35">
      <c r="A12">
        <f t="shared" si="0"/>
        <v>10</v>
      </c>
      <c r="B12" t="s">
        <v>44</v>
      </c>
      <c r="C12" t="s">
        <v>44</v>
      </c>
      <c r="D12" t="s">
        <v>42</v>
      </c>
      <c r="E12" t="s">
        <v>42</v>
      </c>
      <c r="F12" t="s">
        <v>42</v>
      </c>
      <c r="G12" t="s">
        <v>78</v>
      </c>
      <c r="H12" t="s">
        <v>309</v>
      </c>
      <c r="I12" t="s">
        <v>44</v>
      </c>
      <c r="J12" t="s">
        <v>68</v>
      </c>
      <c r="K12" t="s">
        <v>44</v>
      </c>
      <c r="L12" t="s">
        <v>44</v>
      </c>
      <c r="M12" t="s">
        <v>44</v>
      </c>
      <c r="N12" s="3"/>
    </row>
    <row r="13" spans="1:14" x14ac:dyDescent="0.35">
      <c r="A13">
        <f t="shared" si="0"/>
        <v>11</v>
      </c>
      <c r="B13" t="s">
        <v>42</v>
      </c>
      <c r="C13" t="s">
        <v>42</v>
      </c>
      <c r="D13" t="s">
        <v>44</v>
      </c>
      <c r="E13" t="s">
        <v>44</v>
      </c>
      <c r="F13" t="s">
        <v>78</v>
      </c>
      <c r="G13" t="s">
        <v>309</v>
      </c>
      <c r="H13" t="s">
        <v>68</v>
      </c>
      <c r="I13" t="s">
        <v>78</v>
      </c>
      <c r="J13" t="s">
        <v>44</v>
      </c>
      <c r="K13" t="s">
        <v>42</v>
      </c>
      <c r="L13" t="s">
        <v>68</v>
      </c>
      <c r="M13" t="s">
        <v>42</v>
      </c>
      <c r="N13" s="3"/>
    </row>
    <row r="14" spans="1:14" x14ac:dyDescent="0.35">
      <c r="A14">
        <f t="shared" si="0"/>
        <v>12</v>
      </c>
      <c r="B14" t="s">
        <v>78</v>
      </c>
      <c r="C14" t="s">
        <v>78</v>
      </c>
      <c r="D14" t="s">
        <v>78</v>
      </c>
      <c r="E14" t="s">
        <v>68</v>
      </c>
      <c r="F14" t="s">
        <v>44</v>
      </c>
      <c r="G14" t="s">
        <v>68</v>
      </c>
      <c r="H14" t="s">
        <v>44</v>
      </c>
      <c r="I14" t="s">
        <v>42</v>
      </c>
      <c r="J14" t="s">
        <v>44</v>
      </c>
      <c r="K14" t="s">
        <v>78</v>
      </c>
      <c r="L14" t="s">
        <v>78</v>
      </c>
      <c r="M14" t="s">
        <v>44</v>
      </c>
      <c r="N14" s="3"/>
    </row>
    <row r="15" spans="1:14" x14ac:dyDescent="0.35">
      <c r="A15">
        <f t="shared" si="0"/>
        <v>13</v>
      </c>
      <c r="B15" t="s">
        <v>68</v>
      </c>
      <c r="C15" t="s">
        <v>309</v>
      </c>
      <c r="D15" t="s">
        <v>68</v>
      </c>
      <c r="E15" t="s">
        <v>78</v>
      </c>
      <c r="F15" t="s">
        <v>42</v>
      </c>
      <c r="G15" t="s">
        <v>44</v>
      </c>
      <c r="H15" t="s">
        <v>42</v>
      </c>
      <c r="I15" t="s">
        <v>42</v>
      </c>
      <c r="J15" t="s">
        <v>78</v>
      </c>
      <c r="K15" t="s">
        <v>68</v>
      </c>
      <c r="L15" t="s">
        <v>42</v>
      </c>
      <c r="M15" t="s">
        <v>44</v>
      </c>
      <c r="N15" s="3"/>
    </row>
    <row r="16" spans="1:14" x14ac:dyDescent="0.35">
      <c r="A16">
        <f t="shared" si="0"/>
        <v>14</v>
      </c>
      <c r="B16" t="s">
        <v>44</v>
      </c>
      <c r="C16" t="s">
        <v>42</v>
      </c>
      <c r="D16" t="s">
        <v>44</v>
      </c>
      <c r="E16" t="s">
        <v>6</v>
      </c>
      <c r="F16" t="s">
        <v>44</v>
      </c>
      <c r="G16" t="s">
        <v>78</v>
      </c>
      <c r="H16" t="s">
        <v>44</v>
      </c>
      <c r="I16" t="s">
        <v>68</v>
      </c>
      <c r="J16" t="s">
        <v>68</v>
      </c>
      <c r="K16" t="s">
        <v>44</v>
      </c>
      <c r="L16" t="s">
        <v>309</v>
      </c>
      <c r="M16" t="s">
        <v>42</v>
      </c>
      <c r="N16" s="3"/>
    </row>
    <row r="17" spans="1:14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5">
      <c r="A18">
        <v>2017</v>
      </c>
      <c r="B18" t="s">
        <v>298</v>
      </c>
      <c r="C18" t="s">
        <v>307</v>
      </c>
      <c r="D18" t="s">
        <v>300</v>
      </c>
      <c r="E18" t="s">
        <v>299</v>
      </c>
      <c r="F18" t="s">
        <v>301</v>
      </c>
      <c r="G18" t="s">
        <v>302</v>
      </c>
      <c r="H18" t="s">
        <v>306</v>
      </c>
      <c r="I18" t="s">
        <v>304</v>
      </c>
      <c r="J18" t="s">
        <v>305</v>
      </c>
      <c r="K18" t="s">
        <v>297</v>
      </c>
      <c r="L18" t="s">
        <v>311</v>
      </c>
      <c r="M18" t="s">
        <v>303</v>
      </c>
      <c r="N18" s="3"/>
    </row>
    <row r="19" spans="1:14" x14ac:dyDescent="0.35">
      <c r="A19">
        <v>1</v>
      </c>
      <c r="B19" t="s">
        <v>44</v>
      </c>
      <c r="C19" t="s">
        <v>44</v>
      </c>
      <c r="D19" t="s">
        <v>44</v>
      </c>
      <c r="E19" t="s">
        <v>42</v>
      </c>
      <c r="F19" t="s">
        <v>42</v>
      </c>
      <c r="G19" t="s">
        <v>44</v>
      </c>
      <c r="H19" t="s">
        <v>42</v>
      </c>
      <c r="I19" t="s">
        <v>78</v>
      </c>
      <c r="J19" t="s">
        <v>42</v>
      </c>
      <c r="K19" t="s">
        <v>42</v>
      </c>
      <c r="L19" t="s">
        <v>42</v>
      </c>
      <c r="M19" t="s">
        <v>44</v>
      </c>
      <c r="N19" s="3"/>
    </row>
    <row r="20" spans="1:14" x14ac:dyDescent="0.35">
      <c r="A20">
        <v>2</v>
      </c>
      <c r="B20" t="s">
        <v>42</v>
      </c>
      <c r="C20" t="s">
        <v>42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78</v>
      </c>
      <c r="K20" t="s">
        <v>44</v>
      </c>
      <c r="L20" t="s">
        <v>44</v>
      </c>
      <c r="M20" t="s">
        <v>44</v>
      </c>
      <c r="N20" s="3"/>
    </row>
    <row r="21" spans="1:14" x14ac:dyDescent="0.35">
      <c r="A21">
        <v>3</v>
      </c>
      <c r="B21" t="s">
        <v>44</v>
      </c>
      <c r="C21" t="s">
        <v>42</v>
      </c>
      <c r="D21" t="s">
        <v>78</v>
      </c>
      <c r="E21" t="s">
        <v>68</v>
      </c>
      <c r="F21" t="s">
        <v>42</v>
      </c>
      <c r="G21" t="s">
        <v>42</v>
      </c>
      <c r="H21" t="s">
        <v>78</v>
      </c>
      <c r="I21" t="s">
        <v>42</v>
      </c>
      <c r="J21" t="s">
        <v>44</v>
      </c>
      <c r="K21" t="s">
        <v>42</v>
      </c>
      <c r="L21" t="s">
        <v>44</v>
      </c>
      <c r="M21" t="s">
        <v>42</v>
      </c>
      <c r="N21" s="3"/>
    </row>
    <row r="22" spans="1:14" x14ac:dyDescent="0.35">
      <c r="A22">
        <v>4</v>
      </c>
      <c r="B22" t="s">
        <v>42</v>
      </c>
      <c r="C22" t="s">
        <v>68</v>
      </c>
      <c r="D22" t="s">
        <v>42</v>
      </c>
      <c r="E22" t="s">
        <v>78</v>
      </c>
      <c r="F22" t="s">
        <v>44</v>
      </c>
      <c r="G22" t="s">
        <v>42</v>
      </c>
      <c r="H22" t="s">
        <v>44</v>
      </c>
      <c r="I22" t="s">
        <v>42</v>
      </c>
      <c r="J22" t="s">
        <v>42</v>
      </c>
      <c r="K22" t="s">
        <v>78</v>
      </c>
      <c r="L22" t="s">
        <v>42</v>
      </c>
      <c r="M22" t="s">
        <v>42</v>
      </c>
      <c r="N22" s="3"/>
    </row>
    <row r="23" spans="1:14" x14ac:dyDescent="0.35">
      <c r="A23">
        <v>5</v>
      </c>
      <c r="B23" t="s">
        <v>68</v>
      </c>
      <c r="C23" t="s">
        <v>44</v>
      </c>
      <c r="D23" t="s">
        <v>68</v>
      </c>
      <c r="E23" t="s">
        <v>44</v>
      </c>
      <c r="F23" t="s">
        <v>78</v>
      </c>
      <c r="G23" t="s">
        <v>68</v>
      </c>
      <c r="H23" t="s">
        <v>68</v>
      </c>
      <c r="I23" t="s">
        <v>42</v>
      </c>
      <c r="J23" t="s">
        <v>44</v>
      </c>
      <c r="K23" t="s">
        <v>44</v>
      </c>
      <c r="L23" t="s">
        <v>42</v>
      </c>
      <c r="M23" t="s">
        <v>42</v>
      </c>
      <c r="N23" s="3"/>
    </row>
    <row r="24" spans="1:14" x14ac:dyDescent="0.35">
      <c r="A24">
        <v>6</v>
      </c>
      <c r="B24" t="s">
        <v>44</v>
      </c>
      <c r="C24" t="s">
        <v>42</v>
      </c>
      <c r="D24" t="s">
        <v>309</v>
      </c>
      <c r="E24" t="s">
        <v>42</v>
      </c>
      <c r="F24" t="s">
        <v>42</v>
      </c>
      <c r="G24" t="s">
        <v>42</v>
      </c>
      <c r="H24" t="s">
        <v>44</v>
      </c>
      <c r="I24" t="s">
        <v>44</v>
      </c>
      <c r="J24" t="s">
        <v>68</v>
      </c>
      <c r="K24" t="s">
        <v>68</v>
      </c>
      <c r="L24" t="s">
        <v>78</v>
      </c>
      <c r="M24" t="s">
        <v>68</v>
      </c>
      <c r="N24" s="3"/>
    </row>
    <row r="25" spans="1:14" x14ac:dyDescent="0.35">
      <c r="A25">
        <v>7</v>
      </c>
      <c r="B25" t="s">
        <v>78</v>
      </c>
      <c r="C25" t="s">
        <v>309</v>
      </c>
      <c r="D25" t="s">
        <v>42</v>
      </c>
      <c r="E25" t="s">
        <v>309</v>
      </c>
      <c r="F25" t="s">
        <v>309</v>
      </c>
      <c r="G25" t="s">
        <v>78</v>
      </c>
      <c r="H25" t="s">
        <v>309</v>
      </c>
      <c r="I25" t="s">
        <v>309</v>
      </c>
      <c r="J25" t="s">
        <v>6</v>
      </c>
      <c r="K25" t="s">
        <v>309</v>
      </c>
      <c r="L25" t="s">
        <v>68</v>
      </c>
      <c r="M25" t="s">
        <v>6</v>
      </c>
      <c r="N25" s="3"/>
    </row>
    <row r="26" spans="1:14" x14ac:dyDescent="0.35">
      <c r="A26">
        <v>8</v>
      </c>
      <c r="B26" t="s">
        <v>309</v>
      </c>
      <c r="C26" t="s">
        <v>6</v>
      </c>
      <c r="D26" t="s">
        <v>42</v>
      </c>
      <c r="E26" t="s">
        <v>6</v>
      </c>
      <c r="F26" t="s">
        <v>68</v>
      </c>
      <c r="G26" t="s">
        <v>309</v>
      </c>
      <c r="H26" t="s">
        <v>6</v>
      </c>
      <c r="I26" t="s">
        <v>6</v>
      </c>
      <c r="J26" t="s">
        <v>42</v>
      </c>
      <c r="K26" t="s">
        <v>42</v>
      </c>
      <c r="L26" t="s">
        <v>6</v>
      </c>
      <c r="M26" t="s">
        <v>78</v>
      </c>
      <c r="N26" s="3"/>
    </row>
    <row r="27" spans="1:14" x14ac:dyDescent="0.35">
      <c r="A27">
        <v>9</v>
      </c>
      <c r="B27" t="s">
        <v>6</v>
      </c>
      <c r="C27" t="s">
        <v>78</v>
      </c>
      <c r="D27" t="s">
        <v>6</v>
      </c>
      <c r="E27" t="s">
        <v>44</v>
      </c>
      <c r="F27" t="s">
        <v>6</v>
      </c>
      <c r="G27" t="s">
        <v>6</v>
      </c>
      <c r="H27" t="s">
        <v>42</v>
      </c>
      <c r="I27" t="s">
        <v>68</v>
      </c>
      <c r="J27" t="s">
        <v>309</v>
      </c>
      <c r="K27" t="s">
        <v>6</v>
      </c>
      <c r="L27" t="s">
        <v>309</v>
      </c>
      <c r="M27" t="s">
        <v>309</v>
      </c>
      <c r="N27" s="3"/>
    </row>
    <row r="28" spans="1:14" x14ac:dyDescent="0.35">
      <c r="A28">
        <v>10</v>
      </c>
      <c r="B28" t="s">
        <v>44</v>
      </c>
      <c r="C28" t="s">
        <v>42</v>
      </c>
      <c r="D28" t="s">
        <v>44</v>
      </c>
      <c r="E28" t="s">
        <v>44</v>
      </c>
      <c r="F28" t="s">
        <v>42</v>
      </c>
      <c r="G28" t="s">
        <v>44</v>
      </c>
      <c r="H28" t="s">
        <v>42</v>
      </c>
      <c r="I28" t="s">
        <v>78</v>
      </c>
      <c r="J28" t="s">
        <v>42</v>
      </c>
      <c r="K28" t="s">
        <v>68</v>
      </c>
      <c r="L28" t="s">
        <v>42</v>
      </c>
      <c r="M28" t="s">
        <v>44</v>
      </c>
      <c r="N28" s="3"/>
    </row>
    <row r="29" spans="1:14" x14ac:dyDescent="0.35">
      <c r="A29">
        <v>11</v>
      </c>
      <c r="B29" t="s">
        <v>42</v>
      </c>
      <c r="C29" t="s">
        <v>78</v>
      </c>
      <c r="D29" t="s">
        <v>44</v>
      </c>
      <c r="E29" t="s">
        <v>78</v>
      </c>
      <c r="F29" t="s">
        <v>44</v>
      </c>
      <c r="G29" t="s">
        <v>42</v>
      </c>
      <c r="H29" t="s">
        <v>44</v>
      </c>
      <c r="I29" t="s">
        <v>68</v>
      </c>
      <c r="J29" t="s">
        <v>44</v>
      </c>
      <c r="K29" t="s">
        <v>42</v>
      </c>
      <c r="L29" t="s">
        <v>44</v>
      </c>
      <c r="M29" t="s">
        <v>42</v>
      </c>
      <c r="N29" s="3"/>
    </row>
    <row r="30" spans="1:14" x14ac:dyDescent="0.35">
      <c r="A30">
        <v>12</v>
      </c>
      <c r="B30" t="s">
        <v>44</v>
      </c>
      <c r="C30" t="s">
        <v>44</v>
      </c>
      <c r="D30" t="s">
        <v>309</v>
      </c>
      <c r="E30" t="s">
        <v>42</v>
      </c>
      <c r="F30" t="s">
        <v>68</v>
      </c>
      <c r="G30" t="s">
        <v>44</v>
      </c>
      <c r="H30" t="s">
        <v>309</v>
      </c>
      <c r="I30" t="s">
        <v>44</v>
      </c>
      <c r="J30" t="s">
        <v>68</v>
      </c>
      <c r="K30" t="s">
        <v>44</v>
      </c>
      <c r="L30" t="s">
        <v>44</v>
      </c>
      <c r="M30" t="s">
        <v>44</v>
      </c>
      <c r="N30" s="3"/>
    </row>
    <row r="31" spans="1:14" x14ac:dyDescent="0.35">
      <c r="A31">
        <v>13</v>
      </c>
      <c r="B31" t="s">
        <v>42</v>
      </c>
      <c r="C31" t="s">
        <v>44</v>
      </c>
      <c r="D31" t="s">
        <v>42</v>
      </c>
      <c r="E31" t="s">
        <v>44</v>
      </c>
      <c r="F31" t="s">
        <v>78</v>
      </c>
      <c r="G31" t="s">
        <v>78</v>
      </c>
      <c r="H31" t="s">
        <v>42</v>
      </c>
      <c r="I31" t="s">
        <v>309</v>
      </c>
      <c r="J31" t="s">
        <v>78</v>
      </c>
      <c r="K31" t="s">
        <v>42</v>
      </c>
      <c r="L31" t="s">
        <v>42</v>
      </c>
      <c r="M31" t="s">
        <v>42</v>
      </c>
      <c r="N31" s="3"/>
    </row>
    <row r="32" spans="1:14" x14ac:dyDescent="0.35">
      <c r="A32">
        <v>14</v>
      </c>
      <c r="B32" t="s">
        <v>68</v>
      </c>
      <c r="C32" t="s">
        <v>42</v>
      </c>
      <c r="D32" t="s">
        <v>68</v>
      </c>
      <c r="E32" t="s">
        <v>68</v>
      </c>
      <c r="F32" t="s">
        <v>309</v>
      </c>
      <c r="G32" t="s">
        <v>44</v>
      </c>
      <c r="H32" t="s">
        <v>78</v>
      </c>
      <c r="I32" t="s">
        <v>42</v>
      </c>
      <c r="J32" t="s">
        <v>44</v>
      </c>
      <c r="K32" t="s">
        <v>44</v>
      </c>
      <c r="L32" t="s">
        <v>78</v>
      </c>
      <c r="M32" t="s">
        <v>42</v>
      </c>
      <c r="N32" s="3"/>
    </row>
    <row r="33" spans="1:14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35">
      <c r="A34">
        <v>2018</v>
      </c>
      <c r="B34" t="s">
        <v>311</v>
      </c>
      <c r="C34" t="s">
        <v>305</v>
      </c>
      <c r="D34" t="s">
        <v>307</v>
      </c>
      <c r="E34" t="s">
        <v>300</v>
      </c>
      <c r="F34" t="s">
        <v>306</v>
      </c>
      <c r="G34" t="s">
        <v>297</v>
      </c>
      <c r="H34" t="s">
        <v>304</v>
      </c>
      <c r="I34" t="s">
        <v>298</v>
      </c>
      <c r="J34" t="s">
        <v>299</v>
      </c>
      <c r="K34" t="s">
        <v>302</v>
      </c>
      <c r="L34" t="s">
        <v>301</v>
      </c>
      <c r="M34" t="s">
        <v>303</v>
      </c>
      <c r="N34" s="3"/>
    </row>
    <row r="35" spans="1:14" x14ac:dyDescent="0.35">
      <c r="A35">
        <v>1</v>
      </c>
      <c r="B35" t="s">
        <v>44</v>
      </c>
      <c r="C35" t="s">
        <v>44</v>
      </c>
      <c r="D35" t="s">
        <v>44</v>
      </c>
      <c r="E35" t="s">
        <v>44</v>
      </c>
      <c r="F35" t="s">
        <v>44</v>
      </c>
      <c r="G35" t="s">
        <v>42</v>
      </c>
      <c r="H35" t="s">
        <v>42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s="3"/>
    </row>
    <row r="36" spans="1:14" x14ac:dyDescent="0.35">
      <c r="A36">
        <v>2</v>
      </c>
      <c r="B36" t="s">
        <v>44</v>
      </c>
      <c r="C36" t="s">
        <v>44</v>
      </c>
      <c r="D36" t="s">
        <v>78</v>
      </c>
      <c r="E36" t="s">
        <v>44</v>
      </c>
      <c r="F36" t="s">
        <v>68</v>
      </c>
      <c r="G36" t="s">
        <v>44</v>
      </c>
      <c r="H36" t="s">
        <v>44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s="3"/>
    </row>
    <row r="37" spans="1:14" x14ac:dyDescent="0.35">
      <c r="A37">
        <v>3</v>
      </c>
      <c r="B37" t="s">
        <v>42</v>
      </c>
      <c r="C37" t="s">
        <v>42</v>
      </c>
      <c r="D37" t="s">
        <v>42</v>
      </c>
      <c r="E37" t="s">
        <v>44</v>
      </c>
      <c r="F37" t="s">
        <v>44</v>
      </c>
      <c r="G37" t="s">
        <v>42</v>
      </c>
      <c r="H37" t="s">
        <v>42</v>
      </c>
      <c r="I37" t="s">
        <v>42</v>
      </c>
      <c r="J37" t="s">
        <v>68</v>
      </c>
      <c r="K37" t="s">
        <v>44</v>
      </c>
      <c r="L37" t="s">
        <v>42</v>
      </c>
      <c r="M37" t="s">
        <v>44</v>
      </c>
      <c r="N37" s="3"/>
    </row>
    <row r="38" spans="1:14" x14ac:dyDescent="0.35">
      <c r="A38">
        <v>4</v>
      </c>
      <c r="B38" t="s">
        <v>78</v>
      </c>
      <c r="C38" t="s">
        <v>42</v>
      </c>
      <c r="D38" t="s">
        <v>42</v>
      </c>
      <c r="E38" t="s">
        <v>42</v>
      </c>
      <c r="F38" t="s">
        <v>44</v>
      </c>
      <c r="G38" t="s">
        <v>44</v>
      </c>
      <c r="H38" t="s">
        <v>78</v>
      </c>
      <c r="I38" t="s">
        <v>44</v>
      </c>
      <c r="J38" t="s">
        <v>44</v>
      </c>
      <c r="K38" t="s">
        <v>42</v>
      </c>
      <c r="L38" t="s">
        <v>68</v>
      </c>
      <c r="M38" t="s">
        <v>42</v>
      </c>
      <c r="N38" s="3"/>
    </row>
    <row r="39" spans="1:14" x14ac:dyDescent="0.35">
      <c r="A39">
        <v>5</v>
      </c>
      <c r="B39" t="s">
        <v>42</v>
      </c>
      <c r="C39" t="s">
        <v>42</v>
      </c>
      <c r="D39" t="s">
        <v>44</v>
      </c>
      <c r="E39" t="s">
        <v>42</v>
      </c>
      <c r="F39" t="s">
        <v>42</v>
      </c>
      <c r="G39" t="s">
        <v>68</v>
      </c>
      <c r="H39" t="s">
        <v>44</v>
      </c>
      <c r="I39" t="s">
        <v>44</v>
      </c>
      <c r="J39" t="s">
        <v>78</v>
      </c>
      <c r="K39" t="s">
        <v>78</v>
      </c>
      <c r="L39" t="s">
        <v>78</v>
      </c>
      <c r="M39" t="s">
        <v>42</v>
      </c>
      <c r="N39" s="3"/>
    </row>
    <row r="40" spans="1:14" x14ac:dyDescent="0.35">
      <c r="A40">
        <v>6</v>
      </c>
      <c r="B40" t="s">
        <v>44</v>
      </c>
      <c r="C40" t="s">
        <v>68</v>
      </c>
      <c r="D40" t="s">
        <v>44</v>
      </c>
      <c r="E40" t="s">
        <v>309</v>
      </c>
      <c r="F40" t="s">
        <v>309</v>
      </c>
      <c r="G40" t="s">
        <v>78</v>
      </c>
      <c r="H40" t="s">
        <v>68</v>
      </c>
      <c r="I40" t="s">
        <v>78</v>
      </c>
      <c r="J40" t="s">
        <v>42</v>
      </c>
      <c r="K40" t="s">
        <v>68</v>
      </c>
      <c r="L40" t="s">
        <v>44</v>
      </c>
      <c r="M40" t="s">
        <v>68</v>
      </c>
      <c r="N40" s="3"/>
    </row>
    <row r="41" spans="1:14" x14ac:dyDescent="0.35">
      <c r="A41">
        <v>7</v>
      </c>
      <c r="B41" t="s">
        <v>68</v>
      </c>
      <c r="C41" t="s">
        <v>309</v>
      </c>
      <c r="D41" t="s">
        <v>68</v>
      </c>
      <c r="E41" t="s">
        <v>6</v>
      </c>
      <c r="F41" t="s">
        <v>42</v>
      </c>
      <c r="G41" t="s">
        <v>309</v>
      </c>
      <c r="H41" t="s">
        <v>42</v>
      </c>
      <c r="I41" t="s">
        <v>309</v>
      </c>
      <c r="J41" t="s">
        <v>6</v>
      </c>
      <c r="K41" t="s">
        <v>309</v>
      </c>
      <c r="L41" t="s">
        <v>309</v>
      </c>
      <c r="M41" t="s">
        <v>78</v>
      </c>
      <c r="N41" s="3"/>
    </row>
    <row r="42" spans="1:14" x14ac:dyDescent="0.35">
      <c r="A42">
        <v>8</v>
      </c>
      <c r="B42" t="s">
        <v>6</v>
      </c>
      <c r="C42" t="s">
        <v>6</v>
      </c>
      <c r="D42" t="s">
        <v>309</v>
      </c>
      <c r="E42" t="s">
        <v>68</v>
      </c>
      <c r="F42" t="s">
        <v>78</v>
      </c>
      <c r="G42" t="s">
        <v>42</v>
      </c>
      <c r="H42" t="s">
        <v>6</v>
      </c>
      <c r="I42" t="s">
        <v>6</v>
      </c>
      <c r="J42" t="s">
        <v>309</v>
      </c>
      <c r="K42" t="s">
        <v>42</v>
      </c>
      <c r="L42" t="s">
        <v>6</v>
      </c>
      <c r="M42" t="s">
        <v>309</v>
      </c>
      <c r="N42" s="3"/>
    </row>
    <row r="43" spans="1:14" x14ac:dyDescent="0.35">
      <c r="A43">
        <v>9</v>
      </c>
      <c r="B43" t="s">
        <v>309</v>
      </c>
      <c r="C43" t="s">
        <v>78</v>
      </c>
      <c r="D43" t="s">
        <v>6</v>
      </c>
      <c r="E43" t="s">
        <v>78</v>
      </c>
      <c r="F43" t="s">
        <v>6</v>
      </c>
      <c r="G43" t="s">
        <v>6</v>
      </c>
      <c r="H43" t="s">
        <v>42</v>
      </c>
      <c r="I43" t="s">
        <v>68</v>
      </c>
      <c r="J43" t="s">
        <v>42</v>
      </c>
      <c r="K43" t="s">
        <v>6</v>
      </c>
      <c r="L43" t="s">
        <v>42</v>
      </c>
      <c r="M43" t="s">
        <v>6</v>
      </c>
      <c r="N43" s="3"/>
    </row>
    <row r="44" spans="1:14" x14ac:dyDescent="0.35">
      <c r="A44">
        <v>10</v>
      </c>
      <c r="B44" t="s">
        <v>42</v>
      </c>
      <c r="C44" t="s">
        <v>42</v>
      </c>
      <c r="D44" t="s">
        <v>42</v>
      </c>
      <c r="E44" t="s">
        <v>42</v>
      </c>
      <c r="F44" t="s">
        <v>78</v>
      </c>
      <c r="G44" t="s">
        <v>44</v>
      </c>
      <c r="H44" t="s">
        <v>309</v>
      </c>
      <c r="I44" t="s">
        <v>42</v>
      </c>
      <c r="J44" t="s">
        <v>42</v>
      </c>
      <c r="K44" t="s">
        <v>44</v>
      </c>
      <c r="L44" t="s">
        <v>44</v>
      </c>
      <c r="M44" t="s">
        <v>44</v>
      </c>
      <c r="N44" s="3"/>
    </row>
    <row r="45" spans="1:14" x14ac:dyDescent="0.35">
      <c r="A45">
        <v>11</v>
      </c>
      <c r="B45" t="s">
        <v>44</v>
      </c>
      <c r="C45" t="s">
        <v>44</v>
      </c>
      <c r="D45" t="s">
        <v>78</v>
      </c>
      <c r="E45" t="s">
        <v>44</v>
      </c>
      <c r="F45" t="s">
        <v>44</v>
      </c>
      <c r="G45" t="s">
        <v>78</v>
      </c>
      <c r="H45" t="s">
        <v>44</v>
      </c>
      <c r="I45" t="s">
        <v>42</v>
      </c>
      <c r="J45" t="s">
        <v>44</v>
      </c>
      <c r="K45" t="s">
        <v>42</v>
      </c>
      <c r="L45" t="s">
        <v>44</v>
      </c>
      <c r="M45" t="s">
        <v>42</v>
      </c>
      <c r="N45" s="3"/>
    </row>
    <row r="46" spans="1:14" x14ac:dyDescent="0.35">
      <c r="A46">
        <v>12</v>
      </c>
      <c r="B46" t="s">
        <v>42</v>
      </c>
      <c r="C46" t="s">
        <v>42</v>
      </c>
      <c r="D46" t="s">
        <v>42</v>
      </c>
      <c r="E46" t="s">
        <v>44</v>
      </c>
      <c r="F46" t="s">
        <v>42</v>
      </c>
      <c r="G46" t="s">
        <v>42</v>
      </c>
      <c r="H46" t="s">
        <v>42</v>
      </c>
      <c r="I46" t="s">
        <v>44</v>
      </c>
      <c r="J46" t="s">
        <v>68</v>
      </c>
      <c r="K46" t="s">
        <v>309</v>
      </c>
      <c r="L46" t="s">
        <v>78</v>
      </c>
      <c r="M46" t="s">
        <v>78</v>
      </c>
      <c r="N46" s="3"/>
    </row>
    <row r="47" spans="1:14" x14ac:dyDescent="0.35">
      <c r="A47">
        <v>13</v>
      </c>
      <c r="B47" t="s">
        <v>78</v>
      </c>
      <c r="C47" t="s">
        <v>78</v>
      </c>
      <c r="D47" t="s">
        <v>42</v>
      </c>
      <c r="E47" t="s">
        <v>68</v>
      </c>
      <c r="F47" t="s">
        <v>42</v>
      </c>
      <c r="G47" t="s">
        <v>44</v>
      </c>
      <c r="H47" t="s">
        <v>68</v>
      </c>
      <c r="I47" t="s">
        <v>44</v>
      </c>
      <c r="J47" t="s">
        <v>78</v>
      </c>
      <c r="K47" t="s">
        <v>44</v>
      </c>
      <c r="L47" t="s">
        <v>309</v>
      </c>
      <c r="M47" t="s">
        <v>44</v>
      </c>
      <c r="N47" s="3"/>
    </row>
    <row r="48" spans="1:14" x14ac:dyDescent="0.35">
      <c r="A48">
        <v>14</v>
      </c>
      <c r="B48" t="s">
        <v>42</v>
      </c>
      <c r="C48" t="s">
        <v>68</v>
      </c>
      <c r="D48" t="s">
        <v>309</v>
      </c>
      <c r="E48" t="s">
        <v>78</v>
      </c>
      <c r="F48" t="s">
        <v>309</v>
      </c>
      <c r="G48" t="s">
        <v>44</v>
      </c>
      <c r="H48" t="s">
        <v>6</v>
      </c>
      <c r="I48" t="s">
        <v>78</v>
      </c>
      <c r="J48" t="s">
        <v>42</v>
      </c>
      <c r="K48" t="s">
        <v>78</v>
      </c>
      <c r="L48" t="s">
        <v>6</v>
      </c>
      <c r="M48" t="s">
        <v>42</v>
      </c>
      <c r="N48" s="3"/>
    </row>
    <row r="49" spans="1:14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35">
      <c r="A50">
        <v>2025</v>
      </c>
      <c r="B50" t="s">
        <v>307</v>
      </c>
      <c r="C50" t="s">
        <v>302</v>
      </c>
      <c r="D50" t="s">
        <v>299</v>
      </c>
      <c r="E50" t="s">
        <v>303</v>
      </c>
      <c r="F50" t="s">
        <v>311</v>
      </c>
      <c r="G50" t="s">
        <v>297</v>
      </c>
      <c r="H50" t="s">
        <v>301</v>
      </c>
      <c r="I50" t="s">
        <v>306</v>
      </c>
      <c r="J50" t="s">
        <v>300</v>
      </c>
      <c r="K50" t="s">
        <v>304</v>
      </c>
      <c r="L50" t="s">
        <v>298</v>
      </c>
      <c r="M50" t="s">
        <v>305</v>
      </c>
      <c r="N50" s="3"/>
    </row>
    <row r="51" spans="1:14" x14ac:dyDescent="0.35">
      <c r="A51">
        <v>1</v>
      </c>
      <c r="B51" t="s">
        <v>42</v>
      </c>
      <c r="C51" t="s">
        <v>44</v>
      </c>
      <c r="D51" t="s">
        <v>44</v>
      </c>
      <c r="E51" t="s">
        <v>44</v>
      </c>
      <c r="F51" t="s">
        <v>42</v>
      </c>
      <c r="G51" t="s">
        <v>44</v>
      </c>
      <c r="H51" t="s">
        <v>44</v>
      </c>
      <c r="I51" t="s">
        <v>42</v>
      </c>
      <c r="J51" t="s">
        <v>44</v>
      </c>
      <c r="K51" t="s">
        <v>42</v>
      </c>
      <c r="L51" t="s">
        <v>42</v>
      </c>
      <c r="M51" t="s">
        <v>42</v>
      </c>
      <c r="N51" s="3"/>
    </row>
    <row r="52" spans="1:14" x14ac:dyDescent="0.35">
      <c r="A52">
        <v>2</v>
      </c>
      <c r="B52" t="s">
        <v>44</v>
      </c>
      <c r="C52" t="s">
        <v>42</v>
      </c>
      <c r="D52" t="s">
        <v>68</v>
      </c>
      <c r="E52" t="s">
        <v>42</v>
      </c>
      <c r="F52" t="s">
        <v>44</v>
      </c>
      <c r="G52" t="s">
        <v>44</v>
      </c>
      <c r="H52" t="s">
        <v>44</v>
      </c>
      <c r="I52" t="s">
        <v>42</v>
      </c>
      <c r="J52" t="s">
        <v>44</v>
      </c>
      <c r="K52" t="s">
        <v>42</v>
      </c>
      <c r="L52" t="s">
        <v>44</v>
      </c>
      <c r="M52" t="s">
        <v>42</v>
      </c>
      <c r="N52" s="3"/>
    </row>
    <row r="53" spans="1:14" x14ac:dyDescent="0.35">
      <c r="A53">
        <v>3</v>
      </c>
      <c r="B53" t="s">
        <v>78</v>
      </c>
      <c r="C53" t="s">
        <v>44</v>
      </c>
      <c r="D53" t="s">
        <v>42</v>
      </c>
      <c r="E53" t="s">
        <v>78</v>
      </c>
      <c r="F53" t="s">
        <v>44</v>
      </c>
      <c r="G53" t="s">
        <v>44</v>
      </c>
      <c r="H53" t="s">
        <v>68</v>
      </c>
      <c r="I53" t="s">
        <v>68</v>
      </c>
      <c r="J53" t="s">
        <v>42</v>
      </c>
      <c r="K53" t="s">
        <v>78</v>
      </c>
      <c r="L53" t="s">
        <v>78</v>
      </c>
      <c r="M53" t="s">
        <v>42</v>
      </c>
      <c r="N53" s="3"/>
    </row>
    <row r="54" spans="1:14" x14ac:dyDescent="0.35">
      <c r="A54">
        <v>4</v>
      </c>
      <c r="B54" t="s">
        <v>42</v>
      </c>
      <c r="C54" t="s">
        <v>42</v>
      </c>
      <c r="D54" t="s">
        <v>44</v>
      </c>
      <c r="E54" t="s">
        <v>42</v>
      </c>
      <c r="F54" t="s">
        <v>42</v>
      </c>
      <c r="G54" t="s">
        <v>42</v>
      </c>
      <c r="H54" t="s">
        <v>42</v>
      </c>
      <c r="I54" t="s">
        <v>44</v>
      </c>
      <c r="J54" t="s">
        <v>42</v>
      </c>
      <c r="K54" t="s">
        <v>42</v>
      </c>
      <c r="L54" t="s">
        <v>44</v>
      </c>
      <c r="M54" t="s">
        <v>44</v>
      </c>
      <c r="N54" s="3"/>
    </row>
    <row r="55" spans="1:14" x14ac:dyDescent="0.35">
      <c r="A55">
        <v>5</v>
      </c>
      <c r="B55" t="s">
        <v>44</v>
      </c>
      <c r="C55" t="s">
        <v>42</v>
      </c>
      <c r="D55" t="s">
        <v>42</v>
      </c>
      <c r="E55" t="s">
        <v>42</v>
      </c>
      <c r="F55" t="s">
        <v>78</v>
      </c>
      <c r="G55" t="s">
        <v>42</v>
      </c>
      <c r="H55" t="s">
        <v>44</v>
      </c>
      <c r="I55" t="s">
        <v>44</v>
      </c>
      <c r="J55" t="s">
        <v>44</v>
      </c>
      <c r="K55" t="s">
        <v>44</v>
      </c>
      <c r="L55" t="s">
        <v>42</v>
      </c>
      <c r="M55" t="s">
        <v>44</v>
      </c>
      <c r="N55" s="3"/>
    </row>
    <row r="56" spans="1:14" x14ac:dyDescent="0.35">
      <c r="A56">
        <v>6</v>
      </c>
      <c r="B56" t="s">
        <v>42</v>
      </c>
      <c r="C56" t="s">
        <v>44</v>
      </c>
      <c r="D56" t="s">
        <v>78</v>
      </c>
      <c r="E56" t="s">
        <v>44</v>
      </c>
      <c r="F56" t="s">
        <v>68</v>
      </c>
      <c r="G56" t="s">
        <v>42</v>
      </c>
      <c r="H56" t="s">
        <v>42</v>
      </c>
      <c r="I56" t="s">
        <v>44</v>
      </c>
      <c r="J56" t="s">
        <v>42</v>
      </c>
      <c r="K56" t="s">
        <v>68</v>
      </c>
      <c r="L56" t="s">
        <v>42</v>
      </c>
      <c r="M56" t="s">
        <v>44</v>
      </c>
      <c r="N56" s="3"/>
    </row>
    <row r="57" spans="1:14" x14ac:dyDescent="0.35">
      <c r="A57">
        <v>7</v>
      </c>
      <c r="B57" t="s">
        <v>68</v>
      </c>
      <c r="C57" t="s">
        <v>78</v>
      </c>
      <c r="D57" t="s">
        <v>42</v>
      </c>
      <c r="E57" t="s">
        <v>44</v>
      </c>
      <c r="F57" t="s">
        <v>42</v>
      </c>
      <c r="G57" t="s">
        <v>42</v>
      </c>
      <c r="H57" t="s">
        <v>78</v>
      </c>
      <c r="I57" t="s">
        <v>42</v>
      </c>
      <c r="J57" t="s">
        <v>68</v>
      </c>
      <c r="K57" t="s">
        <v>44</v>
      </c>
      <c r="L57" t="s">
        <v>68</v>
      </c>
      <c r="M57" t="s">
        <v>78</v>
      </c>
      <c r="N57" s="3"/>
    </row>
    <row r="58" spans="1:14" x14ac:dyDescent="0.35">
      <c r="A58">
        <v>8</v>
      </c>
      <c r="B58" t="s">
        <v>309</v>
      </c>
      <c r="C58" t="s">
        <v>44</v>
      </c>
      <c r="D58" t="s">
        <v>44</v>
      </c>
      <c r="E58" t="s">
        <v>68</v>
      </c>
      <c r="F58" t="s">
        <v>44</v>
      </c>
      <c r="G58" t="s">
        <v>78</v>
      </c>
      <c r="H58" t="s">
        <v>42</v>
      </c>
      <c r="I58" t="s">
        <v>78</v>
      </c>
      <c r="J58" t="s">
        <v>309</v>
      </c>
      <c r="K58" t="s">
        <v>42</v>
      </c>
      <c r="L58" t="s">
        <v>42</v>
      </c>
      <c r="M58" t="s">
        <v>68</v>
      </c>
      <c r="N58" s="3"/>
    </row>
    <row r="59" spans="1:14" x14ac:dyDescent="0.35">
      <c r="A59">
        <v>9</v>
      </c>
      <c r="B59" t="s">
        <v>6</v>
      </c>
      <c r="C59" t="s">
        <v>42</v>
      </c>
      <c r="D59" t="s">
        <v>44</v>
      </c>
      <c r="E59" t="s">
        <v>42</v>
      </c>
      <c r="F59" t="s">
        <v>42</v>
      </c>
      <c r="G59" t="s">
        <v>68</v>
      </c>
      <c r="H59" t="s">
        <v>42</v>
      </c>
      <c r="I59" t="s">
        <v>309</v>
      </c>
      <c r="J59" t="s">
        <v>6</v>
      </c>
      <c r="K59" t="s">
        <v>42</v>
      </c>
      <c r="L59" t="s">
        <v>44</v>
      </c>
      <c r="M59" t="s">
        <v>44</v>
      </c>
      <c r="N59" s="3"/>
    </row>
    <row r="60" spans="1:14" x14ac:dyDescent="0.35">
      <c r="A60">
        <v>10</v>
      </c>
      <c r="B60" t="s">
        <v>78</v>
      </c>
      <c r="C60" t="s">
        <v>309</v>
      </c>
      <c r="D60" t="s">
        <v>309</v>
      </c>
      <c r="E60" t="s">
        <v>44</v>
      </c>
      <c r="F60" t="s">
        <v>44</v>
      </c>
      <c r="G60" t="s">
        <v>44</v>
      </c>
      <c r="H60" t="s">
        <v>44</v>
      </c>
      <c r="I60" t="s">
        <v>44</v>
      </c>
      <c r="J60" t="s">
        <v>78</v>
      </c>
      <c r="K60" t="s">
        <v>78</v>
      </c>
      <c r="L60" t="s">
        <v>42</v>
      </c>
      <c r="M60" t="s">
        <v>42</v>
      </c>
      <c r="N60" s="3"/>
    </row>
    <row r="61" spans="1:14" x14ac:dyDescent="0.35">
      <c r="A61">
        <v>11</v>
      </c>
      <c r="B61" t="s">
        <v>68</v>
      </c>
      <c r="C61" t="s">
        <v>6</v>
      </c>
      <c r="D61" t="s">
        <v>78</v>
      </c>
      <c r="E61" t="s">
        <v>42</v>
      </c>
      <c r="F61" t="s">
        <v>78</v>
      </c>
      <c r="G61" t="s">
        <v>309</v>
      </c>
      <c r="H61" t="s">
        <v>42</v>
      </c>
      <c r="I61" t="s">
        <v>42</v>
      </c>
      <c r="J61" t="s">
        <v>44</v>
      </c>
      <c r="K61" t="s">
        <v>68</v>
      </c>
      <c r="L61" t="s">
        <v>309</v>
      </c>
      <c r="M61" t="s">
        <v>68</v>
      </c>
      <c r="N61" s="3"/>
    </row>
    <row r="62" spans="1:14" x14ac:dyDescent="0.35">
      <c r="A62">
        <v>12</v>
      </c>
      <c r="B62" t="s">
        <v>42</v>
      </c>
      <c r="C62" t="s">
        <v>44</v>
      </c>
      <c r="D62" t="s">
        <v>6</v>
      </c>
      <c r="E62" t="s">
        <v>44</v>
      </c>
      <c r="F62" t="s">
        <v>6</v>
      </c>
      <c r="G62" t="s">
        <v>44</v>
      </c>
      <c r="H62" t="s">
        <v>6</v>
      </c>
      <c r="I62" t="s">
        <v>42</v>
      </c>
      <c r="J62" t="s">
        <v>42</v>
      </c>
      <c r="K62" t="s">
        <v>44</v>
      </c>
      <c r="L62" t="s">
        <v>6</v>
      </c>
      <c r="M62" t="s">
        <v>78</v>
      </c>
      <c r="N62" s="3"/>
    </row>
    <row r="63" spans="1:14" x14ac:dyDescent="0.35">
      <c r="A63">
        <v>13</v>
      </c>
      <c r="B63" t="s">
        <v>42</v>
      </c>
      <c r="C63" t="s">
        <v>44</v>
      </c>
      <c r="D63" t="s">
        <v>42</v>
      </c>
      <c r="E63" t="s">
        <v>44</v>
      </c>
      <c r="F63" t="s">
        <v>309</v>
      </c>
      <c r="G63" t="s">
        <v>42</v>
      </c>
      <c r="H63" t="s">
        <v>309</v>
      </c>
      <c r="I63" t="s">
        <v>309</v>
      </c>
      <c r="J63" t="s">
        <v>44</v>
      </c>
      <c r="K63" t="s">
        <v>309</v>
      </c>
      <c r="L63" t="s">
        <v>78</v>
      </c>
      <c r="M63" t="s">
        <v>309</v>
      </c>
      <c r="N63" s="3"/>
    </row>
    <row r="64" spans="1:14" x14ac:dyDescent="0.35">
      <c r="A64">
        <v>14</v>
      </c>
      <c r="B64" t="s">
        <v>44</v>
      </c>
      <c r="C64" t="s">
        <v>68</v>
      </c>
      <c r="D64" t="s">
        <v>68</v>
      </c>
      <c r="E64" t="s">
        <v>68</v>
      </c>
      <c r="F64" t="s">
        <v>68</v>
      </c>
      <c r="G64" t="s">
        <v>6</v>
      </c>
      <c r="H64" t="s">
        <v>68</v>
      </c>
      <c r="I64" t="s">
        <v>6</v>
      </c>
      <c r="J64" t="s">
        <v>44</v>
      </c>
      <c r="K64" t="s">
        <v>6</v>
      </c>
      <c r="L64" t="s">
        <v>42</v>
      </c>
      <c r="M64" t="s">
        <v>6</v>
      </c>
      <c r="N64" s="3"/>
    </row>
    <row r="65" spans="1:14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4722-817F-4EB0-98E5-D6547B114A97}">
  <dimension ref="A1:N212"/>
  <sheetViews>
    <sheetView tabSelected="1" topLeftCell="A195" workbookViewId="0">
      <selection activeCell="G220" sqref="G220"/>
    </sheetView>
  </sheetViews>
  <sheetFormatPr defaultRowHeight="14.5" x14ac:dyDescent="0.35"/>
  <cols>
    <col min="1" max="1" width="36.36328125" style="6" bestFit="1" customWidth="1"/>
    <col min="2" max="2" width="7.1796875" style="6" bestFit="1" customWidth="1"/>
    <col min="3" max="3" width="8.54296875" style="6" bestFit="1" customWidth="1"/>
    <col min="4" max="4" width="8" style="6" bestFit="1" customWidth="1"/>
    <col min="5" max="5" width="7.6328125" style="6" bestFit="1" customWidth="1"/>
    <col min="6" max="6" width="5.453125" style="6" bestFit="1" customWidth="1"/>
    <col min="7" max="7" width="10.36328125" style="6" bestFit="1" customWidth="1"/>
    <col min="8" max="8" width="7.36328125" style="6" bestFit="1" customWidth="1"/>
    <col min="9" max="9" width="8.81640625" style="6" bestFit="1" customWidth="1"/>
    <col min="10" max="10" width="7.36328125" style="6" bestFit="1" customWidth="1"/>
    <col min="11" max="11" width="6.81640625" style="6" bestFit="1" customWidth="1"/>
    <col min="12" max="12" width="3.90625" style="6" bestFit="1" customWidth="1"/>
    <col min="13" max="13" width="4.6328125" style="6" bestFit="1" customWidth="1"/>
    <col min="14" max="14" width="7.36328125" style="6" bestFit="1" customWidth="1"/>
    <col min="15" max="16384" width="8.7265625" style="6"/>
  </cols>
  <sheetData>
    <row r="1" spans="1:14" ht="15" thickBot="1" x14ac:dyDescent="0.4">
      <c r="A1" s="7"/>
      <c r="B1" s="8" t="s">
        <v>314</v>
      </c>
      <c r="C1" s="9"/>
      <c r="D1" s="10"/>
      <c r="E1" s="8" t="s">
        <v>315</v>
      </c>
      <c r="F1" s="10"/>
      <c r="G1" s="8" t="s">
        <v>316</v>
      </c>
      <c r="H1" s="9"/>
      <c r="I1" s="10"/>
      <c r="J1" s="10" t="s">
        <v>317</v>
      </c>
      <c r="K1" s="8" t="s">
        <v>318</v>
      </c>
      <c r="L1" s="10"/>
      <c r="M1" s="10" t="s">
        <v>319</v>
      </c>
      <c r="N1" s="11" t="s">
        <v>320</v>
      </c>
    </row>
    <row r="2" spans="1:14" x14ac:dyDescent="0.35">
      <c r="A2" s="12" t="s">
        <v>312</v>
      </c>
      <c r="B2" s="13" t="s">
        <v>346</v>
      </c>
      <c r="C2" s="13" t="s">
        <v>28</v>
      </c>
      <c r="D2" s="13" t="s">
        <v>347</v>
      </c>
      <c r="E2" s="13" t="s">
        <v>346</v>
      </c>
      <c r="F2" s="13" t="s">
        <v>28</v>
      </c>
      <c r="G2" s="13" t="s">
        <v>348</v>
      </c>
      <c r="H2" s="13" t="s">
        <v>346</v>
      </c>
      <c r="I2" s="13" t="s">
        <v>28</v>
      </c>
      <c r="J2" s="13" t="s">
        <v>28</v>
      </c>
      <c r="K2" s="13" t="s">
        <v>349</v>
      </c>
      <c r="L2" s="13" t="s">
        <v>350</v>
      </c>
      <c r="M2" s="13" t="s">
        <v>351</v>
      </c>
      <c r="N2" s="14" t="s">
        <v>321</v>
      </c>
    </row>
    <row r="3" spans="1:14" ht="15" thickBot="1" x14ac:dyDescent="0.4">
      <c r="A3" s="15" t="s">
        <v>322</v>
      </c>
      <c r="B3" s="16">
        <v>3619</v>
      </c>
      <c r="C3" s="16">
        <v>30</v>
      </c>
      <c r="D3" s="16">
        <v>9</v>
      </c>
      <c r="E3" s="16">
        <v>832</v>
      </c>
      <c r="F3" s="16">
        <v>4</v>
      </c>
      <c r="G3" s="16" t="s">
        <v>352</v>
      </c>
      <c r="H3" s="16" t="s">
        <v>352</v>
      </c>
      <c r="I3" s="16" t="s">
        <v>352</v>
      </c>
      <c r="J3" s="16" t="s">
        <v>352</v>
      </c>
      <c r="K3" s="16">
        <v>1</v>
      </c>
      <c r="L3" s="16" t="s">
        <v>352</v>
      </c>
      <c r="M3" s="16">
        <v>4</v>
      </c>
      <c r="N3" s="17">
        <v>351.96</v>
      </c>
    </row>
    <row r="4" spans="1:14" ht="15" thickBot="1" x14ac:dyDescent="0.4">
      <c r="A4" s="15" t="s">
        <v>323</v>
      </c>
      <c r="B4" s="16">
        <v>3777</v>
      </c>
      <c r="C4" s="16">
        <v>27</v>
      </c>
      <c r="D4" s="16">
        <v>11</v>
      </c>
      <c r="E4" s="16">
        <v>504</v>
      </c>
      <c r="F4" s="16">
        <v>10</v>
      </c>
      <c r="G4" s="16" t="s">
        <v>352</v>
      </c>
      <c r="H4" s="16" t="s">
        <v>352</v>
      </c>
      <c r="I4" s="16" t="s">
        <v>352</v>
      </c>
      <c r="J4" s="16" t="s">
        <v>352</v>
      </c>
      <c r="K4" s="16" t="s">
        <v>352</v>
      </c>
      <c r="L4" s="16" t="s">
        <v>352</v>
      </c>
      <c r="M4" s="16">
        <v>3</v>
      </c>
      <c r="N4" s="17">
        <v>341.48</v>
      </c>
    </row>
    <row r="5" spans="1:14" ht="15" thickBot="1" x14ac:dyDescent="0.4">
      <c r="A5" s="15" t="s">
        <v>324</v>
      </c>
      <c r="B5" s="16">
        <v>3475</v>
      </c>
      <c r="C5" s="16">
        <v>22</v>
      </c>
      <c r="D5" s="16">
        <v>9</v>
      </c>
      <c r="E5" s="16">
        <v>535</v>
      </c>
      <c r="F5" s="16">
        <v>14</v>
      </c>
      <c r="G5" s="16" t="s">
        <v>352</v>
      </c>
      <c r="H5" s="16" t="s">
        <v>352</v>
      </c>
      <c r="I5" s="16" t="s">
        <v>352</v>
      </c>
      <c r="J5" s="16" t="s">
        <v>352</v>
      </c>
      <c r="K5" s="16" t="s">
        <v>352</v>
      </c>
      <c r="L5" s="16" t="s">
        <v>352</v>
      </c>
      <c r="M5" s="16">
        <v>3</v>
      </c>
      <c r="N5" s="17">
        <v>340.5</v>
      </c>
    </row>
    <row r="6" spans="1:14" ht="15" thickBot="1" x14ac:dyDescent="0.4">
      <c r="A6" s="15" t="s">
        <v>325</v>
      </c>
      <c r="B6" s="16">
        <v>3726</v>
      </c>
      <c r="C6" s="16">
        <v>26</v>
      </c>
      <c r="D6" s="16">
        <v>11</v>
      </c>
      <c r="E6" s="16">
        <v>755</v>
      </c>
      <c r="F6" s="16">
        <v>6</v>
      </c>
      <c r="G6" s="16" t="s">
        <v>352</v>
      </c>
      <c r="H6" s="16" t="s">
        <v>352</v>
      </c>
      <c r="I6" s="16" t="s">
        <v>352</v>
      </c>
      <c r="J6" s="16" t="s">
        <v>352</v>
      </c>
      <c r="K6" s="16" t="s">
        <v>352</v>
      </c>
      <c r="L6" s="16" t="s">
        <v>352</v>
      </c>
      <c r="M6" s="16">
        <v>3</v>
      </c>
      <c r="N6" s="17">
        <v>336.54</v>
      </c>
    </row>
    <row r="7" spans="1:14" ht="15" thickBot="1" x14ac:dyDescent="0.4">
      <c r="A7" s="15" t="s">
        <v>326</v>
      </c>
      <c r="B7" s="16">
        <v>4223</v>
      </c>
      <c r="C7" s="16">
        <v>32</v>
      </c>
      <c r="D7" s="16">
        <v>12</v>
      </c>
      <c r="E7" s="16">
        <v>335</v>
      </c>
      <c r="F7" s="16">
        <v>2</v>
      </c>
      <c r="G7" s="16" t="s">
        <v>352</v>
      </c>
      <c r="H7" s="16" t="s">
        <v>352</v>
      </c>
      <c r="I7" s="16" t="s">
        <v>352</v>
      </c>
      <c r="J7" s="16" t="s">
        <v>352</v>
      </c>
      <c r="K7" s="16" t="s">
        <v>352</v>
      </c>
      <c r="L7" s="16" t="s">
        <v>352</v>
      </c>
      <c r="M7" s="16">
        <v>2</v>
      </c>
      <c r="N7" s="17">
        <v>314.42</v>
      </c>
    </row>
    <row r="8" spans="1:14" ht="15" thickBot="1" x14ac:dyDescent="0.4">
      <c r="A8" s="15" t="s">
        <v>327</v>
      </c>
      <c r="B8" s="16">
        <v>4415</v>
      </c>
      <c r="C8" s="16">
        <v>34</v>
      </c>
      <c r="D8" s="16">
        <v>11</v>
      </c>
      <c r="E8" s="16">
        <v>159</v>
      </c>
      <c r="F8" s="16">
        <v>2</v>
      </c>
      <c r="G8" s="16" t="s">
        <v>352</v>
      </c>
      <c r="H8" s="16" t="s">
        <v>352</v>
      </c>
      <c r="I8" s="16" t="s">
        <v>352</v>
      </c>
      <c r="J8" s="16" t="s">
        <v>352</v>
      </c>
      <c r="K8" s="16" t="s">
        <v>352</v>
      </c>
      <c r="L8" s="16" t="s">
        <v>352</v>
      </c>
      <c r="M8" s="16">
        <v>3</v>
      </c>
      <c r="N8" s="17">
        <v>312.5</v>
      </c>
    </row>
    <row r="9" spans="1:14" ht="15" thickBot="1" x14ac:dyDescent="0.4">
      <c r="A9" s="15" t="s">
        <v>328</v>
      </c>
      <c r="B9" s="16">
        <v>4009</v>
      </c>
      <c r="C9" s="16">
        <v>31</v>
      </c>
      <c r="D9" s="16">
        <v>13</v>
      </c>
      <c r="E9" s="16">
        <v>235</v>
      </c>
      <c r="F9" s="16">
        <v>3</v>
      </c>
      <c r="G9" s="16" t="s">
        <v>352</v>
      </c>
      <c r="H9" s="16" t="s">
        <v>352</v>
      </c>
      <c r="I9" s="16" t="s">
        <v>352</v>
      </c>
      <c r="J9" s="16" t="s">
        <v>352</v>
      </c>
      <c r="K9" s="16">
        <v>1</v>
      </c>
      <c r="L9" s="16" t="s">
        <v>352</v>
      </c>
      <c r="M9" s="16">
        <v>4</v>
      </c>
      <c r="N9" s="17">
        <v>297.86</v>
      </c>
    </row>
    <row r="10" spans="1:14" ht="15" thickBot="1" x14ac:dyDescent="0.4">
      <c r="A10" s="15" t="s">
        <v>329</v>
      </c>
      <c r="B10" s="16">
        <v>3621</v>
      </c>
      <c r="C10" s="16">
        <v>24</v>
      </c>
      <c r="D10" s="16">
        <v>11</v>
      </c>
      <c r="E10" s="16">
        <v>549</v>
      </c>
      <c r="F10" s="16">
        <v>5</v>
      </c>
      <c r="G10" s="16" t="s">
        <v>352</v>
      </c>
      <c r="H10" s="16" t="s">
        <v>352</v>
      </c>
      <c r="I10" s="16" t="s">
        <v>352</v>
      </c>
      <c r="J10" s="16" t="s">
        <v>352</v>
      </c>
      <c r="K10" s="16" t="s">
        <v>352</v>
      </c>
      <c r="L10" s="16" t="s">
        <v>352</v>
      </c>
      <c r="M10" s="16">
        <v>3</v>
      </c>
      <c r="N10" s="17">
        <v>297.74</v>
      </c>
    </row>
    <row r="11" spans="1:14" ht="15" thickBot="1" x14ac:dyDescent="0.4">
      <c r="A11" s="15" t="s">
        <v>330</v>
      </c>
      <c r="B11" s="16">
        <v>4163</v>
      </c>
      <c r="C11" s="16">
        <v>27</v>
      </c>
      <c r="D11" s="16">
        <v>12</v>
      </c>
      <c r="E11" s="16">
        <v>272</v>
      </c>
      <c r="F11" s="16">
        <v>4</v>
      </c>
      <c r="G11" s="16" t="s">
        <v>352</v>
      </c>
      <c r="H11" s="16" t="s">
        <v>352</v>
      </c>
      <c r="I11" s="16" t="s">
        <v>352</v>
      </c>
      <c r="J11" s="16" t="s">
        <v>352</v>
      </c>
      <c r="K11" s="16" t="s">
        <v>352</v>
      </c>
      <c r="L11" s="16" t="s">
        <v>352</v>
      </c>
      <c r="M11" s="16">
        <v>2</v>
      </c>
      <c r="N11" s="17">
        <v>297.72000000000003</v>
      </c>
    </row>
    <row r="12" spans="1:14" ht="15" thickBot="1" x14ac:dyDescent="0.4">
      <c r="A12" s="15" t="s">
        <v>331</v>
      </c>
      <c r="B12" s="16">
        <v>3807</v>
      </c>
      <c r="C12" s="16">
        <v>27</v>
      </c>
      <c r="D12" s="16">
        <v>12</v>
      </c>
      <c r="E12" s="16">
        <v>402</v>
      </c>
      <c r="F12" s="16">
        <v>4</v>
      </c>
      <c r="G12" s="16" t="s">
        <v>352</v>
      </c>
      <c r="H12" s="16" t="s">
        <v>352</v>
      </c>
      <c r="I12" s="16" t="s">
        <v>352</v>
      </c>
      <c r="J12" s="16" t="s">
        <v>352</v>
      </c>
      <c r="K12" s="16" t="s">
        <v>352</v>
      </c>
      <c r="L12" s="16" t="s">
        <v>352</v>
      </c>
      <c r="M12" s="16">
        <v>3</v>
      </c>
      <c r="N12" s="17">
        <v>294.48</v>
      </c>
    </row>
    <row r="13" spans="1:14" ht="15" thickBot="1" x14ac:dyDescent="0.4">
      <c r="A13" s="15" t="s">
        <v>332</v>
      </c>
      <c r="B13" s="16">
        <v>3708</v>
      </c>
      <c r="C13" s="16">
        <v>25</v>
      </c>
      <c r="D13" s="16">
        <v>13</v>
      </c>
      <c r="E13" s="16">
        <v>465</v>
      </c>
      <c r="F13" s="16">
        <v>4</v>
      </c>
      <c r="G13" s="16" t="s">
        <v>352</v>
      </c>
      <c r="H13" s="16" t="s">
        <v>352</v>
      </c>
      <c r="I13" s="16" t="s">
        <v>352</v>
      </c>
      <c r="J13" s="16" t="s">
        <v>352</v>
      </c>
      <c r="K13" s="16">
        <v>1</v>
      </c>
      <c r="L13" s="16" t="s">
        <v>352</v>
      </c>
      <c r="M13" s="16">
        <v>4</v>
      </c>
      <c r="N13" s="17">
        <v>290.82</v>
      </c>
    </row>
    <row r="14" spans="1:14" ht="15" thickBot="1" x14ac:dyDescent="0.4">
      <c r="A14" s="15" t="s">
        <v>333</v>
      </c>
      <c r="B14" s="16">
        <v>4060</v>
      </c>
      <c r="C14" s="16">
        <v>27</v>
      </c>
      <c r="D14" s="16">
        <v>13</v>
      </c>
      <c r="E14" s="16">
        <v>285</v>
      </c>
      <c r="F14" s="16">
        <v>3</v>
      </c>
      <c r="G14" s="16" t="s">
        <v>352</v>
      </c>
      <c r="H14" s="16" t="s">
        <v>352</v>
      </c>
      <c r="I14" s="16" t="s">
        <v>352</v>
      </c>
      <c r="J14" s="16" t="s">
        <v>352</v>
      </c>
      <c r="K14" s="16" t="s">
        <v>352</v>
      </c>
      <c r="L14" s="16" t="s">
        <v>352</v>
      </c>
      <c r="M14" s="16">
        <v>3</v>
      </c>
      <c r="N14" s="17">
        <v>284.89999999999998</v>
      </c>
    </row>
    <row r="15" spans="1:14" ht="15" thickBot="1" x14ac:dyDescent="0.4">
      <c r="A15" s="15" t="s">
        <v>334</v>
      </c>
      <c r="B15" s="16">
        <v>3720</v>
      </c>
      <c r="C15" s="16">
        <v>24</v>
      </c>
      <c r="D15" s="16">
        <v>12</v>
      </c>
      <c r="E15" s="16">
        <v>384</v>
      </c>
      <c r="F15" s="16">
        <v>4</v>
      </c>
      <c r="G15" s="16" t="s">
        <v>352</v>
      </c>
      <c r="H15" s="16" t="s">
        <v>352</v>
      </c>
      <c r="I15" s="16" t="s">
        <v>352</v>
      </c>
      <c r="J15" s="16" t="s">
        <v>352</v>
      </c>
      <c r="K15" s="16">
        <v>1</v>
      </c>
      <c r="L15" s="16" t="s">
        <v>352</v>
      </c>
      <c r="M15" s="16">
        <v>4</v>
      </c>
      <c r="N15" s="17">
        <v>281.2</v>
      </c>
    </row>
    <row r="16" spans="1:14" ht="15" thickBot="1" x14ac:dyDescent="0.4">
      <c r="A16" s="15" t="s">
        <v>335</v>
      </c>
      <c r="B16" s="16">
        <v>3995</v>
      </c>
      <c r="C16" s="16">
        <v>26</v>
      </c>
      <c r="D16" s="16">
        <v>13</v>
      </c>
      <c r="E16" s="16">
        <v>255</v>
      </c>
      <c r="F16" s="16">
        <v>3</v>
      </c>
      <c r="G16" s="16" t="s">
        <v>352</v>
      </c>
      <c r="H16" s="16" t="s">
        <v>352</v>
      </c>
      <c r="I16" s="16" t="s">
        <v>352</v>
      </c>
      <c r="J16" s="16" t="s">
        <v>352</v>
      </c>
      <c r="K16" s="16">
        <v>1</v>
      </c>
      <c r="L16" s="16" t="s">
        <v>352</v>
      </c>
      <c r="M16" s="16">
        <v>4</v>
      </c>
      <c r="N16" s="17">
        <v>279.3</v>
      </c>
    </row>
    <row r="17" spans="1:14" ht="15" thickBot="1" x14ac:dyDescent="0.4">
      <c r="A17" s="15" t="s">
        <v>336</v>
      </c>
      <c r="B17" s="16">
        <v>2981</v>
      </c>
      <c r="C17" s="16">
        <v>16</v>
      </c>
      <c r="D17" s="16">
        <v>9</v>
      </c>
      <c r="E17" s="16">
        <v>798</v>
      </c>
      <c r="F17" s="16">
        <v>7</v>
      </c>
      <c r="G17" s="16" t="s">
        <v>352</v>
      </c>
      <c r="H17" s="16" t="s">
        <v>352</v>
      </c>
      <c r="I17" s="16" t="s">
        <v>352</v>
      </c>
      <c r="J17" s="16" t="s">
        <v>352</v>
      </c>
      <c r="K17" s="16" t="s">
        <v>352</v>
      </c>
      <c r="L17" s="16" t="s">
        <v>352</v>
      </c>
      <c r="M17" s="16">
        <v>4</v>
      </c>
      <c r="N17" s="17">
        <v>279.04000000000002</v>
      </c>
    </row>
    <row r="18" spans="1:14" ht="15" thickBot="1" x14ac:dyDescent="0.4">
      <c r="A18" s="15" t="s">
        <v>337</v>
      </c>
      <c r="B18" s="16">
        <v>3880</v>
      </c>
      <c r="C18" s="16">
        <v>26</v>
      </c>
      <c r="D18" s="16">
        <v>10</v>
      </c>
      <c r="E18" s="16">
        <v>234</v>
      </c>
      <c r="F18" s="16">
        <v>3</v>
      </c>
      <c r="G18" s="16" t="s">
        <v>352</v>
      </c>
      <c r="H18" s="16" t="s">
        <v>352</v>
      </c>
      <c r="I18" s="16" t="s">
        <v>352</v>
      </c>
      <c r="J18" s="16" t="s">
        <v>352</v>
      </c>
      <c r="K18" s="16" t="s">
        <v>352</v>
      </c>
      <c r="L18" s="16" t="s">
        <v>352</v>
      </c>
      <c r="M18" s="16">
        <v>2</v>
      </c>
      <c r="N18" s="17">
        <v>276.60000000000002</v>
      </c>
    </row>
    <row r="19" spans="1:14" ht="15" thickBot="1" x14ac:dyDescent="0.4">
      <c r="A19" s="15" t="s">
        <v>338</v>
      </c>
      <c r="B19" s="16">
        <v>4179</v>
      </c>
      <c r="C19" s="16">
        <v>28</v>
      </c>
      <c r="D19" s="16">
        <v>13</v>
      </c>
      <c r="E19" s="16">
        <v>159</v>
      </c>
      <c r="F19" s="16">
        <v>2</v>
      </c>
      <c r="G19" s="16" t="s">
        <v>352</v>
      </c>
      <c r="H19" s="16" t="s">
        <v>352</v>
      </c>
      <c r="I19" s="16" t="s">
        <v>352</v>
      </c>
      <c r="J19" s="16" t="s">
        <v>352</v>
      </c>
      <c r="K19" s="16" t="s">
        <v>352</v>
      </c>
      <c r="L19" s="16" t="s">
        <v>352</v>
      </c>
      <c r="M19" s="16">
        <v>3</v>
      </c>
      <c r="N19" s="17">
        <v>275.06</v>
      </c>
    </row>
    <row r="20" spans="1:14" ht="15" thickBot="1" x14ac:dyDescent="0.4">
      <c r="A20" s="15" t="s">
        <v>339</v>
      </c>
      <c r="B20" s="16">
        <v>4015</v>
      </c>
      <c r="C20" s="16">
        <v>27</v>
      </c>
      <c r="D20" s="16">
        <v>11</v>
      </c>
      <c r="E20" s="16">
        <v>196</v>
      </c>
      <c r="F20" s="16">
        <v>2</v>
      </c>
      <c r="G20" s="16" t="s">
        <v>352</v>
      </c>
      <c r="H20" s="16" t="s">
        <v>352</v>
      </c>
      <c r="I20" s="16" t="s">
        <v>352</v>
      </c>
      <c r="J20" s="16" t="s">
        <v>352</v>
      </c>
      <c r="K20" s="16" t="s">
        <v>352</v>
      </c>
      <c r="L20" s="16" t="s">
        <v>352</v>
      </c>
      <c r="M20" s="16">
        <v>3</v>
      </c>
      <c r="N20" s="17">
        <v>272.2</v>
      </c>
    </row>
    <row r="21" spans="1:14" ht="15" thickBot="1" x14ac:dyDescent="0.4">
      <c r="A21" s="15" t="s">
        <v>340</v>
      </c>
      <c r="B21" s="16">
        <v>4221</v>
      </c>
      <c r="C21" s="16">
        <v>28</v>
      </c>
      <c r="D21" s="16">
        <v>11</v>
      </c>
      <c r="E21" s="16">
        <v>63</v>
      </c>
      <c r="F21" s="16">
        <v>1</v>
      </c>
      <c r="G21" s="16" t="s">
        <v>352</v>
      </c>
      <c r="H21" s="16" t="s">
        <v>352</v>
      </c>
      <c r="I21" s="16" t="s">
        <v>352</v>
      </c>
      <c r="J21" s="16" t="s">
        <v>352</v>
      </c>
      <c r="K21" s="16" t="s">
        <v>352</v>
      </c>
      <c r="L21" s="16" t="s">
        <v>352</v>
      </c>
      <c r="M21" s="16">
        <v>3</v>
      </c>
      <c r="N21" s="17">
        <v>265.14</v>
      </c>
    </row>
    <row r="22" spans="1:14" ht="15" thickBot="1" x14ac:dyDescent="0.4">
      <c r="A22" s="15" t="s">
        <v>341</v>
      </c>
      <c r="B22" s="16">
        <v>3613</v>
      </c>
      <c r="C22" s="16">
        <v>22</v>
      </c>
      <c r="D22" s="16">
        <v>12</v>
      </c>
      <c r="E22" s="16">
        <v>297</v>
      </c>
      <c r="F22" s="16">
        <v>4</v>
      </c>
      <c r="G22" s="16" t="s">
        <v>352</v>
      </c>
      <c r="H22" s="16" t="s">
        <v>352</v>
      </c>
      <c r="I22" s="16" t="s">
        <v>352</v>
      </c>
      <c r="J22" s="16" t="s">
        <v>352</v>
      </c>
      <c r="K22" s="16">
        <v>1</v>
      </c>
      <c r="L22" s="16" t="s">
        <v>352</v>
      </c>
      <c r="M22" s="16">
        <v>4</v>
      </c>
      <c r="N22" s="17">
        <v>260.22000000000003</v>
      </c>
    </row>
    <row r="23" spans="1:14" ht="15" thickBot="1" x14ac:dyDescent="0.4">
      <c r="A23" s="15" t="s">
        <v>342</v>
      </c>
      <c r="B23" s="16">
        <v>3907</v>
      </c>
      <c r="C23" s="16">
        <v>26</v>
      </c>
      <c r="D23" s="16">
        <v>12</v>
      </c>
      <c r="E23" s="16">
        <v>166</v>
      </c>
      <c r="F23" s="16">
        <v>2</v>
      </c>
      <c r="G23" s="16" t="s">
        <v>352</v>
      </c>
      <c r="H23" s="16" t="s">
        <v>352</v>
      </c>
      <c r="I23" s="16" t="s">
        <v>352</v>
      </c>
      <c r="J23" s="16" t="s">
        <v>352</v>
      </c>
      <c r="K23" s="16" t="s">
        <v>352</v>
      </c>
      <c r="L23" s="16" t="s">
        <v>352</v>
      </c>
      <c r="M23" s="16">
        <v>3</v>
      </c>
      <c r="N23" s="17">
        <v>258.88</v>
      </c>
    </row>
    <row r="24" spans="1:14" ht="15" thickBot="1" x14ac:dyDescent="0.4">
      <c r="A24" s="18" t="s">
        <v>520</v>
      </c>
      <c r="B24" s="16">
        <v>3975</v>
      </c>
      <c r="C24" s="16">
        <v>26</v>
      </c>
      <c r="D24" s="16">
        <v>12</v>
      </c>
      <c r="E24" s="16">
        <v>96</v>
      </c>
      <c r="F24" s="16">
        <v>1</v>
      </c>
      <c r="G24" s="16" t="s">
        <v>352</v>
      </c>
      <c r="H24" s="16" t="s">
        <v>352</v>
      </c>
      <c r="I24" s="16" t="s">
        <v>352</v>
      </c>
      <c r="J24" s="16" t="s">
        <v>352</v>
      </c>
      <c r="K24" s="16" t="s">
        <v>352</v>
      </c>
      <c r="L24" s="16" t="s">
        <v>352</v>
      </c>
      <c r="M24" s="16">
        <v>3</v>
      </c>
      <c r="N24" s="17">
        <v>248.6</v>
      </c>
    </row>
    <row r="25" spans="1:14" ht="15" thickBot="1" x14ac:dyDescent="0.4">
      <c r="A25" s="15" t="s">
        <v>343</v>
      </c>
      <c r="B25" s="16">
        <v>3380</v>
      </c>
      <c r="C25" s="16">
        <v>20</v>
      </c>
      <c r="D25" s="16">
        <v>14</v>
      </c>
      <c r="E25" s="16">
        <v>392</v>
      </c>
      <c r="F25" s="16">
        <v>3</v>
      </c>
      <c r="G25" s="16" t="s">
        <v>352</v>
      </c>
      <c r="H25" s="16" t="s">
        <v>352</v>
      </c>
      <c r="I25" s="16" t="s">
        <v>352</v>
      </c>
      <c r="J25" s="16" t="s">
        <v>352</v>
      </c>
      <c r="K25" s="16">
        <v>1</v>
      </c>
      <c r="L25" s="16" t="s">
        <v>352</v>
      </c>
      <c r="M25" s="16">
        <v>4</v>
      </c>
      <c r="N25" s="17">
        <v>242.4</v>
      </c>
    </row>
    <row r="26" spans="1:14" ht="15" thickBot="1" x14ac:dyDescent="0.4">
      <c r="A26" s="15" t="s">
        <v>344</v>
      </c>
      <c r="B26" s="16">
        <v>3972</v>
      </c>
      <c r="C26" s="16">
        <v>25</v>
      </c>
      <c r="D26" s="16">
        <v>12</v>
      </c>
      <c r="E26" s="16">
        <v>48</v>
      </c>
      <c r="F26" s="16">
        <v>1</v>
      </c>
      <c r="G26" s="16" t="s">
        <v>352</v>
      </c>
      <c r="H26" s="16" t="s">
        <v>352</v>
      </c>
      <c r="I26" s="16" t="s">
        <v>352</v>
      </c>
      <c r="J26" s="16" t="s">
        <v>352</v>
      </c>
      <c r="K26" s="16" t="s">
        <v>352</v>
      </c>
      <c r="L26" s="16" t="s">
        <v>352</v>
      </c>
      <c r="M26" s="16">
        <v>2</v>
      </c>
      <c r="N26" s="17">
        <v>241.68</v>
      </c>
    </row>
    <row r="27" spans="1:14" ht="15" thickBot="1" x14ac:dyDescent="0.4">
      <c r="A27" s="15" t="s">
        <v>345</v>
      </c>
      <c r="B27" s="16">
        <v>3724</v>
      </c>
      <c r="C27" s="16">
        <v>22</v>
      </c>
      <c r="D27" s="16">
        <v>12</v>
      </c>
      <c r="E27" s="16">
        <v>225</v>
      </c>
      <c r="F27" s="16">
        <v>2</v>
      </c>
      <c r="G27" s="16" t="s">
        <v>352</v>
      </c>
      <c r="H27" s="16" t="s">
        <v>352</v>
      </c>
      <c r="I27" s="16" t="s">
        <v>352</v>
      </c>
      <c r="J27" s="16" t="s">
        <v>352</v>
      </c>
      <c r="K27" s="16" t="s">
        <v>352</v>
      </c>
      <c r="L27" s="16" t="s">
        <v>352</v>
      </c>
      <c r="M27" s="16">
        <v>3</v>
      </c>
      <c r="N27" s="17">
        <v>241.46</v>
      </c>
    </row>
    <row r="28" spans="1:14" ht="15" thickBot="1" x14ac:dyDescent="0.4">
      <c r="A28" s="7"/>
      <c r="B28" s="19" t="s">
        <v>314</v>
      </c>
      <c r="C28" s="20"/>
      <c r="D28" s="21"/>
      <c r="E28" s="19" t="s">
        <v>315</v>
      </c>
      <c r="F28" s="21"/>
      <c r="G28" s="19" t="s">
        <v>316</v>
      </c>
      <c r="H28" s="20"/>
      <c r="I28" s="21"/>
      <c r="J28" s="10" t="s">
        <v>317</v>
      </c>
      <c r="K28" s="19" t="s">
        <v>318</v>
      </c>
      <c r="L28" s="21"/>
      <c r="M28" s="10" t="s">
        <v>319</v>
      </c>
      <c r="N28" s="11" t="s">
        <v>320</v>
      </c>
    </row>
    <row r="29" spans="1:14" x14ac:dyDescent="0.35">
      <c r="A29" s="12" t="s">
        <v>312</v>
      </c>
      <c r="B29" s="13" t="s">
        <v>346</v>
      </c>
      <c r="C29" s="13" t="s">
        <v>28</v>
      </c>
      <c r="D29" s="13" t="s">
        <v>347</v>
      </c>
      <c r="E29" s="13" t="s">
        <v>346</v>
      </c>
      <c r="F29" s="13" t="s">
        <v>28</v>
      </c>
      <c r="G29" s="13" t="s">
        <v>348</v>
      </c>
      <c r="H29" s="13" t="s">
        <v>346</v>
      </c>
      <c r="I29" s="13" t="s">
        <v>28</v>
      </c>
      <c r="J29" s="13" t="s">
        <v>28</v>
      </c>
      <c r="K29" s="13" t="s">
        <v>349</v>
      </c>
      <c r="L29" s="13" t="s">
        <v>350</v>
      </c>
      <c r="M29" s="13" t="s">
        <v>351</v>
      </c>
      <c r="N29" s="14" t="s">
        <v>321</v>
      </c>
    </row>
    <row r="30" spans="1:14" ht="15" thickBot="1" x14ac:dyDescent="0.4">
      <c r="A30" s="15" t="s">
        <v>353</v>
      </c>
      <c r="B30" s="16" t="s">
        <v>352</v>
      </c>
      <c r="C30" s="16" t="s">
        <v>352</v>
      </c>
      <c r="D30" s="16" t="s">
        <v>352</v>
      </c>
      <c r="E30" s="16">
        <v>1348</v>
      </c>
      <c r="F30" s="16">
        <v>11</v>
      </c>
      <c r="G30" s="16">
        <v>57</v>
      </c>
      <c r="H30" s="16">
        <v>436</v>
      </c>
      <c r="I30" s="16">
        <v>2</v>
      </c>
      <c r="J30" s="16" t="s">
        <v>352</v>
      </c>
      <c r="K30" s="16" t="s">
        <v>352</v>
      </c>
      <c r="L30" s="16" t="s">
        <v>352</v>
      </c>
      <c r="M30" s="16">
        <v>2</v>
      </c>
      <c r="N30" s="17">
        <v>309.39999999999998</v>
      </c>
    </row>
    <row r="31" spans="1:14" ht="15" thickBot="1" x14ac:dyDescent="0.4">
      <c r="A31" s="18" t="s">
        <v>521</v>
      </c>
      <c r="B31" s="16" t="s">
        <v>352</v>
      </c>
      <c r="C31" s="16" t="s">
        <v>352</v>
      </c>
      <c r="D31" s="16" t="s">
        <v>352</v>
      </c>
      <c r="E31" s="16">
        <v>1590</v>
      </c>
      <c r="F31" s="16">
        <v>11</v>
      </c>
      <c r="G31" s="16">
        <v>39</v>
      </c>
      <c r="H31" s="16">
        <v>305</v>
      </c>
      <c r="I31" s="16">
        <v>2</v>
      </c>
      <c r="J31" s="16" t="s">
        <v>352</v>
      </c>
      <c r="K31" s="16" t="s">
        <v>352</v>
      </c>
      <c r="L31" s="16" t="s">
        <v>352</v>
      </c>
      <c r="M31" s="16">
        <v>2</v>
      </c>
      <c r="N31" s="17">
        <v>302.5</v>
      </c>
    </row>
    <row r="32" spans="1:14" ht="15" thickBot="1" x14ac:dyDescent="0.4">
      <c r="A32" s="15" t="s">
        <v>354</v>
      </c>
      <c r="B32" s="16" t="s">
        <v>352</v>
      </c>
      <c r="C32" s="16" t="s">
        <v>352</v>
      </c>
      <c r="D32" s="16" t="s">
        <v>352</v>
      </c>
      <c r="E32" s="16">
        <v>1204</v>
      </c>
      <c r="F32" s="16">
        <v>12</v>
      </c>
      <c r="G32" s="16">
        <v>56</v>
      </c>
      <c r="H32" s="16">
        <v>445</v>
      </c>
      <c r="I32" s="16">
        <v>2</v>
      </c>
      <c r="J32" s="16" t="s">
        <v>352</v>
      </c>
      <c r="K32" s="16" t="s">
        <v>352</v>
      </c>
      <c r="L32" s="16" t="s">
        <v>352</v>
      </c>
      <c r="M32" s="16">
        <v>2</v>
      </c>
      <c r="N32" s="17">
        <v>300.89999999999998</v>
      </c>
    </row>
    <row r="33" spans="1:14" ht="15" thickBot="1" x14ac:dyDescent="0.4">
      <c r="A33" s="15" t="s">
        <v>355</v>
      </c>
      <c r="B33" s="16" t="s">
        <v>352</v>
      </c>
      <c r="C33" s="16" t="s">
        <v>352</v>
      </c>
      <c r="D33" s="16" t="s">
        <v>352</v>
      </c>
      <c r="E33" s="16">
        <v>1255</v>
      </c>
      <c r="F33" s="16">
        <v>10</v>
      </c>
      <c r="G33" s="16">
        <v>49</v>
      </c>
      <c r="H33" s="16">
        <v>373</v>
      </c>
      <c r="I33" s="16">
        <v>2</v>
      </c>
      <c r="J33" s="16" t="s">
        <v>352</v>
      </c>
      <c r="K33" s="16" t="s">
        <v>352</v>
      </c>
      <c r="L33" s="16" t="s">
        <v>352</v>
      </c>
      <c r="M33" s="16">
        <v>2</v>
      </c>
      <c r="N33" s="17">
        <v>279.8</v>
      </c>
    </row>
    <row r="34" spans="1:14" ht="15" thickBot="1" x14ac:dyDescent="0.4">
      <c r="A34" s="15" t="s">
        <v>356</v>
      </c>
      <c r="B34" s="16" t="s">
        <v>352</v>
      </c>
      <c r="C34" s="16" t="s">
        <v>352</v>
      </c>
      <c r="D34" s="16" t="s">
        <v>352</v>
      </c>
      <c r="E34" s="16">
        <v>972</v>
      </c>
      <c r="F34" s="16">
        <v>8</v>
      </c>
      <c r="G34" s="16">
        <v>61</v>
      </c>
      <c r="H34" s="16">
        <v>498</v>
      </c>
      <c r="I34" s="16">
        <v>3</v>
      </c>
      <c r="J34" s="16" t="s">
        <v>352</v>
      </c>
      <c r="K34" s="16" t="s">
        <v>352</v>
      </c>
      <c r="L34" s="16" t="s">
        <v>352</v>
      </c>
      <c r="M34" s="16">
        <v>2</v>
      </c>
      <c r="N34" s="17">
        <v>270</v>
      </c>
    </row>
    <row r="35" spans="1:14" ht="15" thickBot="1" x14ac:dyDescent="0.4">
      <c r="A35" s="15" t="s">
        <v>357</v>
      </c>
      <c r="B35" s="16" t="s">
        <v>352</v>
      </c>
      <c r="C35" s="16" t="s">
        <v>352</v>
      </c>
      <c r="D35" s="16" t="s">
        <v>352</v>
      </c>
      <c r="E35" s="16">
        <v>931</v>
      </c>
      <c r="F35" s="16">
        <v>7</v>
      </c>
      <c r="G35" s="16">
        <v>67</v>
      </c>
      <c r="H35" s="16">
        <v>500</v>
      </c>
      <c r="I35" s="16">
        <v>3</v>
      </c>
      <c r="J35" s="16" t="s">
        <v>352</v>
      </c>
      <c r="K35" s="16" t="s">
        <v>352</v>
      </c>
      <c r="L35" s="16" t="s">
        <v>352</v>
      </c>
      <c r="M35" s="16">
        <v>2</v>
      </c>
      <c r="N35" s="17">
        <v>266.10000000000002</v>
      </c>
    </row>
    <row r="36" spans="1:14" ht="15" thickBot="1" x14ac:dyDescent="0.4">
      <c r="A36" s="15" t="s">
        <v>358</v>
      </c>
      <c r="B36" s="16" t="s">
        <v>352</v>
      </c>
      <c r="C36" s="16" t="s">
        <v>352</v>
      </c>
      <c r="D36" s="16" t="s">
        <v>352</v>
      </c>
      <c r="E36" s="16">
        <v>1562</v>
      </c>
      <c r="F36" s="16">
        <v>13</v>
      </c>
      <c r="G36" s="16">
        <v>15</v>
      </c>
      <c r="H36" s="16">
        <v>143</v>
      </c>
      <c r="I36" s="16">
        <v>1</v>
      </c>
      <c r="J36" s="16" t="s">
        <v>352</v>
      </c>
      <c r="K36" s="16" t="s">
        <v>352</v>
      </c>
      <c r="L36" s="16" t="s">
        <v>352</v>
      </c>
      <c r="M36" s="16">
        <v>2</v>
      </c>
      <c r="N36" s="17">
        <v>265.5</v>
      </c>
    </row>
    <row r="37" spans="1:14" ht="15" thickBot="1" x14ac:dyDescent="0.4">
      <c r="A37" s="18" t="s">
        <v>522</v>
      </c>
      <c r="B37" s="16" t="s">
        <v>352</v>
      </c>
      <c r="C37" s="16" t="s">
        <v>352</v>
      </c>
      <c r="D37" s="16" t="s">
        <v>352</v>
      </c>
      <c r="E37" s="16">
        <v>1155</v>
      </c>
      <c r="F37" s="16">
        <v>11</v>
      </c>
      <c r="G37" s="16">
        <v>39</v>
      </c>
      <c r="H37" s="16">
        <v>295</v>
      </c>
      <c r="I37" s="16">
        <v>2</v>
      </c>
      <c r="J37" s="16" t="s">
        <v>352</v>
      </c>
      <c r="K37" s="16" t="s">
        <v>352</v>
      </c>
      <c r="L37" s="16" t="s">
        <v>352</v>
      </c>
      <c r="M37" s="16">
        <v>2</v>
      </c>
      <c r="N37" s="17">
        <v>258</v>
      </c>
    </row>
    <row r="38" spans="1:14" ht="15" thickBot="1" x14ac:dyDescent="0.4">
      <c r="A38" s="15" t="s">
        <v>359</v>
      </c>
      <c r="B38" s="16" t="s">
        <v>352</v>
      </c>
      <c r="C38" s="16" t="s">
        <v>352</v>
      </c>
      <c r="D38" s="16" t="s">
        <v>352</v>
      </c>
      <c r="E38" s="16">
        <v>1320</v>
      </c>
      <c r="F38" s="16">
        <v>10</v>
      </c>
      <c r="G38" s="16">
        <v>34</v>
      </c>
      <c r="H38" s="16">
        <v>255</v>
      </c>
      <c r="I38" s="16">
        <v>1</v>
      </c>
      <c r="J38" s="16" t="s">
        <v>352</v>
      </c>
      <c r="K38" s="16" t="s">
        <v>352</v>
      </c>
      <c r="L38" s="16" t="s">
        <v>352</v>
      </c>
      <c r="M38" s="16">
        <v>2</v>
      </c>
      <c r="N38" s="17">
        <v>253.5</v>
      </c>
    </row>
    <row r="39" spans="1:14" ht="15" thickBot="1" x14ac:dyDescent="0.4">
      <c r="A39" s="15" t="s">
        <v>360</v>
      </c>
      <c r="B39" s="16" t="s">
        <v>352</v>
      </c>
      <c r="C39" s="16" t="s">
        <v>352</v>
      </c>
      <c r="D39" s="16" t="s">
        <v>352</v>
      </c>
      <c r="E39" s="16">
        <v>1013</v>
      </c>
      <c r="F39" s="16">
        <v>8</v>
      </c>
      <c r="G39" s="16">
        <v>53</v>
      </c>
      <c r="H39" s="16">
        <v>395</v>
      </c>
      <c r="I39" s="16">
        <v>2</v>
      </c>
      <c r="J39" s="16" t="s">
        <v>352</v>
      </c>
      <c r="K39" s="16" t="s">
        <v>352</v>
      </c>
      <c r="L39" s="16" t="s">
        <v>352</v>
      </c>
      <c r="M39" s="16">
        <v>2</v>
      </c>
      <c r="N39" s="17">
        <v>249.8</v>
      </c>
    </row>
    <row r="40" spans="1:14" ht="15" thickBot="1" x14ac:dyDescent="0.4">
      <c r="A40" s="15" t="s">
        <v>361</v>
      </c>
      <c r="B40" s="16" t="s">
        <v>352</v>
      </c>
      <c r="C40" s="16" t="s">
        <v>352</v>
      </c>
      <c r="D40" s="16" t="s">
        <v>352</v>
      </c>
      <c r="E40" s="16">
        <v>1094</v>
      </c>
      <c r="F40" s="16">
        <v>8</v>
      </c>
      <c r="G40" s="16">
        <v>47</v>
      </c>
      <c r="H40" s="16">
        <v>357</v>
      </c>
      <c r="I40" s="16">
        <v>2</v>
      </c>
      <c r="J40" s="16" t="s">
        <v>352</v>
      </c>
      <c r="K40" s="16" t="s">
        <v>352</v>
      </c>
      <c r="L40" s="16" t="s">
        <v>352</v>
      </c>
      <c r="M40" s="16">
        <v>2</v>
      </c>
      <c r="N40" s="17">
        <v>248.1</v>
      </c>
    </row>
    <row r="41" spans="1:14" ht="15" thickBot="1" x14ac:dyDescent="0.4">
      <c r="A41" s="15" t="s">
        <v>362</v>
      </c>
      <c r="B41" s="16" t="s">
        <v>352</v>
      </c>
      <c r="C41" s="16" t="s">
        <v>352</v>
      </c>
      <c r="D41" s="16" t="s">
        <v>352</v>
      </c>
      <c r="E41" s="16">
        <v>1170</v>
      </c>
      <c r="F41" s="16">
        <v>11</v>
      </c>
      <c r="G41" s="16">
        <v>30</v>
      </c>
      <c r="H41" s="16">
        <v>211</v>
      </c>
      <c r="I41" s="16">
        <v>1</v>
      </c>
      <c r="J41" s="16" t="s">
        <v>352</v>
      </c>
      <c r="K41" s="16" t="s">
        <v>352</v>
      </c>
      <c r="L41" s="16" t="s">
        <v>352</v>
      </c>
      <c r="M41" s="16">
        <v>2</v>
      </c>
      <c r="N41" s="17">
        <v>236.1</v>
      </c>
    </row>
    <row r="42" spans="1:14" ht="15" thickBot="1" x14ac:dyDescent="0.4">
      <c r="A42" s="15" t="s">
        <v>363</v>
      </c>
      <c r="B42" s="16" t="s">
        <v>352</v>
      </c>
      <c r="C42" s="16" t="s">
        <v>352</v>
      </c>
      <c r="D42" s="16" t="s">
        <v>352</v>
      </c>
      <c r="E42" s="16">
        <v>1068</v>
      </c>
      <c r="F42" s="16">
        <v>10</v>
      </c>
      <c r="G42" s="16">
        <v>37</v>
      </c>
      <c r="H42" s="16">
        <v>281</v>
      </c>
      <c r="I42" s="16">
        <v>1</v>
      </c>
      <c r="J42" s="16" t="s">
        <v>352</v>
      </c>
      <c r="K42" s="16" t="s">
        <v>352</v>
      </c>
      <c r="L42" s="16" t="s">
        <v>352</v>
      </c>
      <c r="M42" s="16">
        <v>2</v>
      </c>
      <c r="N42" s="17">
        <v>233.9</v>
      </c>
    </row>
    <row r="43" spans="1:14" ht="15" thickBot="1" x14ac:dyDescent="0.4">
      <c r="A43" s="15" t="s">
        <v>364</v>
      </c>
      <c r="B43" s="16" t="s">
        <v>352</v>
      </c>
      <c r="C43" s="16" t="s">
        <v>352</v>
      </c>
      <c r="D43" s="16" t="s">
        <v>352</v>
      </c>
      <c r="E43" s="16">
        <v>875</v>
      </c>
      <c r="F43" s="16">
        <v>5</v>
      </c>
      <c r="G43" s="16">
        <v>59</v>
      </c>
      <c r="H43" s="16">
        <v>435</v>
      </c>
      <c r="I43" s="16">
        <v>2</v>
      </c>
      <c r="J43" s="16" t="s">
        <v>352</v>
      </c>
      <c r="K43" s="16" t="s">
        <v>352</v>
      </c>
      <c r="L43" s="16" t="s">
        <v>352</v>
      </c>
      <c r="M43" s="16">
        <v>2</v>
      </c>
      <c r="N43" s="17">
        <v>228</v>
      </c>
    </row>
    <row r="44" spans="1:14" ht="15" thickBot="1" x14ac:dyDescent="0.4">
      <c r="A44" s="15" t="s">
        <v>365</v>
      </c>
      <c r="B44" s="16" t="s">
        <v>352</v>
      </c>
      <c r="C44" s="16" t="s">
        <v>352</v>
      </c>
      <c r="D44" s="16" t="s">
        <v>352</v>
      </c>
      <c r="E44" s="16">
        <v>951</v>
      </c>
      <c r="F44" s="16">
        <v>8</v>
      </c>
      <c r="G44" s="16">
        <v>39</v>
      </c>
      <c r="H44" s="16">
        <v>292</v>
      </c>
      <c r="I44" s="16">
        <v>2</v>
      </c>
      <c r="J44" s="16" t="s">
        <v>352</v>
      </c>
      <c r="K44" s="16" t="s">
        <v>352</v>
      </c>
      <c r="L44" s="16" t="s">
        <v>352</v>
      </c>
      <c r="M44" s="16">
        <v>2</v>
      </c>
      <c r="N44" s="17">
        <v>219.3</v>
      </c>
    </row>
    <row r="45" spans="1:14" ht="15" thickBot="1" x14ac:dyDescent="0.4">
      <c r="A45" s="15" t="s">
        <v>366</v>
      </c>
      <c r="B45" s="16" t="s">
        <v>352</v>
      </c>
      <c r="C45" s="16" t="s">
        <v>352</v>
      </c>
      <c r="D45" s="16" t="s">
        <v>352</v>
      </c>
      <c r="E45" s="16">
        <v>1035</v>
      </c>
      <c r="F45" s="16">
        <v>8</v>
      </c>
      <c r="G45" s="16">
        <v>33</v>
      </c>
      <c r="H45" s="16">
        <v>257</v>
      </c>
      <c r="I45" s="16">
        <v>2</v>
      </c>
      <c r="J45" s="16" t="s">
        <v>352</v>
      </c>
      <c r="K45" s="16" t="s">
        <v>352</v>
      </c>
      <c r="L45" s="16" t="s">
        <v>352</v>
      </c>
      <c r="M45" s="16">
        <v>2</v>
      </c>
      <c r="N45" s="17">
        <v>218.2</v>
      </c>
    </row>
    <row r="46" spans="1:14" ht="15" thickBot="1" x14ac:dyDescent="0.4">
      <c r="A46" s="15" t="s">
        <v>367</v>
      </c>
      <c r="B46" s="16" t="s">
        <v>352</v>
      </c>
      <c r="C46" s="16" t="s">
        <v>352</v>
      </c>
      <c r="D46" s="16" t="s">
        <v>352</v>
      </c>
      <c r="E46" s="16">
        <v>1005</v>
      </c>
      <c r="F46" s="16">
        <v>5</v>
      </c>
      <c r="G46" s="16">
        <v>43</v>
      </c>
      <c r="H46" s="16">
        <v>330</v>
      </c>
      <c r="I46" s="16">
        <v>2</v>
      </c>
      <c r="J46" s="16" t="s">
        <v>352</v>
      </c>
      <c r="K46" s="16" t="s">
        <v>352</v>
      </c>
      <c r="L46" s="16" t="s">
        <v>352</v>
      </c>
      <c r="M46" s="16">
        <v>2</v>
      </c>
      <c r="N46" s="17">
        <v>214.5</v>
      </c>
    </row>
    <row r="47" spans="1:14" ht="15" thickBot="1" x14ac:dyDescent="0.4">
      <c r="A47" s="15" t="s">
        <v>368</v>
      </c>
      <c r="B47" s="16" t="s">
        <v>352</v>
      </c>
      <c r="C47" s="16" t="s">
        <v>352</v>
      </c>
      <c r="D47" s="16" t="s">
        <v>352</v>
      </c>
      <c r="E47" s="16">
        <v>1046</v>
      </c>
      <c r="F47" s="16">
        <v>7</v>
      </c>
      <c r="G47" s="16">
        <v>37</v>
      </c>
      <c r="H47" s="16">
        <v>272</v>
      </c>
      <c r="I47" s="16">
        <v>1</v>
      </c>
      <c r="J47" s="16" t="s">
        <v>352</v>
      </c>
      <c r="K47" s="16" t="s">
        <v>352</v>
      </c>
      <c r="L47" s="16" t="s">
        <v>352</v>
      </c>
      <c r="M47" s="16">
        <v>2</v>
      </c>
      <c r="N47" s="17">
        <v>212.8</v>
      </c>
    </row>
    <row r="48" spans="1:14" ht="15" thickBot="1" x14ac:dyDescent="0.4">
      <c r="A48" s="15" t="s">
        <v>369</v>
      </c>
      <c r="B48" s="16" t="s">
        <v>352</v>
      </c>
      <c r="C48" s="16" t="s">
        <v>352</v>
      </c>
      <c r="D48" s="16" t="s">
        <v>352</v>
      </c>
      <c r="E48" s="16">
        <v>960</v>
      </c>
      <c r="F48" s="16">
        <v>6</v>
      </c>
      <c r="G48" s="16">
        <v>44</v>
      </c>
      <c r="H48" s="16">
        <v>320</v>
      </c>
      <c r="I48" s="16">
        <v>1</v>
      </c>
      <c r="J48" s="16" t="s">
        <v>352</v>
      </c>
      <c r="K48" s="16" t="s">
        <v>352</v>
      </c>
      <c r="L48" s="16" t="s">
        <v>352</v>
      </c>
      <c r="M48" s="16">
        <v>1</v>
      </c>
      <c r="N48" s="17">
        <v>212</v>
      </c>
    </row>
    <row r="49" spans="1:14" ht="15" thickBot="1" x14ac:dyDescent="0.4">
      <c r="A49" s="15" t="s">
        <v>370</v>
      </c>
      <c r="B49" s="16" t="s">
        <v>352</v>
      </c>
      <c r="C49" s="16" t="s">
        <v>352</v>
      </c>
      <c r="D49" s="16" t="s">
        <v>352</v>
      </c>
      <c r="E49" s="16">
        <v>840</v>
      </c>
      <c r="F49" s="16">
        <v>6</v>
      </c>
      <c r="G49" s="16">
        <v>41</v>
      </c>
      <c r="H49" s="16">
        <v>312</v>
      </c>
      <c r="I49" s="16">
        <v>2</v>
      </c>
      <c r="J49" s="16" t="s">
        <v>352</v>
      </c>
      <c r="K49" s="16" t="s">
        <v>352</v>
      </c>
      <c r="L49" s="16" t="s">
        <v>352</v>
      </c>
      <c r="M49" s="16">
        <v>1</v>
      </c>
      <c r="N49" s="17">
        <v>202.2</v>
      </c>
    </row>
    <row r="50" spans="1:14" ht="15" thickBot="1" x14ac:dyDescent="0.4">
      <c r="A50" s="18" t="s">
        <v>523</v>
      </c>
      <c r="B50" s="16" t="s">
        <v>352</v>
      </c>
      <c r="C50" s="16" t="s">
        <v>352</v>
      </c>
      <c r="D50" s="16" t="s">
        <v>352</v>
      </c>
      <c r="E50" s="16">
        <v>770</v>
      </c>
      <c r="F50" s="16">
        <v>6</v>
      </c>
      <c r="G50" s="16">
        <v>43</v>
      </c>
      <c r="H50" s="16">
        <v>315</v>
      </c>
      <c r="I50" s="16">
        <v>2</v>
      </c>
      <c r="J50" s="16" t="s">
        <v>352</v>
      </c>
      <c r="K50" s="16" t="s">
        <v>352</v>
      </c>
      <c r="L50" s="16" t="s">
        <v>352</v>
      </c>
      <c r="M50" s="16" t="s">
        <v>352</v>
      </c>
      <c r="N50" s="17">
        <v>199.5</v>
      </c>
    </row>
    <row r="51" spans="1:14" ht="15" thickBot="1" x14ac:dyDescent="0.4">
      <c r="A51" s="15" t="s">
        <v>371</v>
      </c>
      <c r="B51" s="16" t="s">
        <v>352</v>
      </c>
      <c r="C51" s="16" t="s">
        <v>352</v>
      </c>
      <c r="D51" s="16" t="s">
        <v>352</v>
      </c>
      <c r="E51" s="16">
        <v>865</v>
      </c>
      <c r="F51" s="16">
        <v>7</v>
      </c>
      <c r="G51" s="16">
        <v>33</v>
      </c>
      <c r="H51" s="16">
        <v>243</v>
      </c>
      <c r="I51" s="16">
        <v>1</v>
      </c>
      <c r="J51" s="16" t="s">
        <v>352</v>
      </c>
      <c r="K51" s="16" t="s">
        <v>352</v>
      </c>
      <c r="L51" s="16" t="s">
        <v>352</v>
      </c>
      <c r="M51" s="16">
        <v>1</v>
      </c>
      <c r="N51" s="17">
        <v>189.8</v>
      </c>
    </row>
    <row r="52" spans="1:14" ht="15" thickBot="1" x14ac:dyDescent="0.4">
      <c r="A52" s="15" t="s">
        <v>372</v>
      </c>
      <c r="B52" s="16" t="s">
        <v>352</v>
      </c>
      <c r="C52" s="16" t="s">
        <v>352</v>
      </c>
      <c r="D52" s="16" t="s">
        <v>352</v>
      </c>
      <c r="E52" s="16">
        <v>786</v>
      </c>
      <c r="F52" s="16">
        <v>8</v>
      </c>
      <c r="G52" s="16">
        <v>29</v>
      </c>
      <c r="H52" s="16">
        <v>220</v>
      </c>
      <c r="I52" s="16">
        <v>1</v>
      </c>
      <c r="J52" s="16" t="s">
        <v>352</v>
      </c>
      <c r="K52" s="16" t="s">
        <v>352</v>
      </c>
      <c r="L52" s="16" t="s">
        <v>352</v>
      </c>
      <c r="M52" s="16">
        <v>1</v>
      </c>
      <c r="N52" s="17">
        <v>181.6</v>
      </c>
    </row>
    <row r="53" spans="1:14" ht="15" thickBot="1" x14ac:dyDescent="0.4">
      <c r="A53" s="15" t="s">
        <v>373</v>
      </c>
      <c r="B53" s="16" t="s">
        <v>352</v>
      </c>
      <c r="C53" s="16" t="s">
        <v>352</v>
      </c>
      <c r="D53" s="16" t="s">
        <v>352</v>
      </c>
      <c r="E53" s="16">
        <v>880</v>
      </c>
      <c r="F53" s="16">
        <v>6</v>
      </c>
      <c r="G53" s="16">
        <v>32</v>
      </c>
      <c r="H53" s="16">
        <v>235</v>
      </c>
      <c r="I53" s="16">
        <v>1</v>
      </c>
      <c r="J53" s="16" t="s">
        <v>352</v>
      </c>
      <c r="K53" s="16" t="s">
        <v>352</v>
      </c>
      <c r="L53" s="16" t="s">
        <v>352</v>
      </c>
      <c r="M53" s="16">
        <v>2</v>
      </c>
      <c r="N53" s="17">
        <v>181.5</v>
      </c>
    </row>
    <row r="54" spans="1:14" ht="15" thickBot="1" x14ac:dyDescent="0.4">
      <c r="A54" s="15" t="s">
        <v>374</v>
      </c>
      <c r="B54" s="16" t="s">
        <v>352</v>
      </c>
      <c r="C54" s="16" t="s">
        <v>352</v>
      </c>
      <c r="D54" s="16" t="s">
        <v>352</v>
      </c>
      <c r="E54" s="16">
        <v>849</v>
      </c>
      <c r="F54" s="16">
        <v>5</v>
      </c>
      <c r="G54" s="16">
        <v>36</v>
      </c>
      <c r="H54" s="16">
        <v>253</v>
      </c>
      <c r="I54" s="16">
        <v>1</v>
      </c>
      <c r="J54" s="16" t="s">
        <v>352</v>
      </c>
      <c r="K54" s="16" t="s">
        <v>352</v>
      </c>
      <c r="L54" s="16" t="s">
        <v>352</v>
      </c>
      <c r="M54" s="16">
        <v>1</v>
      </c>
      <c r="N54" s="17">
        <v>180.2</v>
      </c>
    </row>
    <row r="55" spans="1:14" ht="15" thickBot="1" x14ac:dyDescent="0.4">
      <c r="A55" s="15" t="s">
        <v>375</v>
      </c>
      <c r="B55" s="16" t="s">
        <v>352</v>
      </c>
      <c r="C55" s="16" t="s">
        <v>352</v>
      </c>
      <c r="D55" s="16" t="s">
        <v>352</v>
      </c>
      <c r="E55" s="16">
        <v>795</v>
      </c>
      <c r="F55" s="16">
        <v>5</v>
      </c>
      <c r="G55" s="16">
        <v>37</v>
      </c>
      <c r="H55" s="16">
        <v>275</v>
      </c>
      <c r="I55" s="16">
        <v>1</v>
      </c>
      <c r="J55" s="16" t="s">
        <v>352</v>
      </c>
      <c r="K55" s="16" t="s">
        <v>352</v>
      </c>
      <c r="L55" s="16" t="s">
        <v>352</v>
      </c>
      <c r="M55" s="16">
        <v>1</v>
      </c>
      <c r="N55" s="17">
        <v>178</v>
      </c>
    </row>
    <row r="56" spans="1:14" ht="15" thickBot="1" x14ac:dyDescent="0.4">
      <c r="A56" s="15" t="s">
        <v>376</v>
      </c>
      <c r="B56" s="16" t="s">
        <v>352</v>
      </c>
      <c r="C56" s="16" t="s">
        <v>352</v>
      </c>
      <c r="D56" s="16" t="s">
        <v>352</v>
      </c>
      <c r="E56" s="16">
        <v>690</v>
      </c>
      <c r="F56" s="16">
        <v>4</v>
      </c>
      <c r="G56" s="16">
        <v>45</v>
      </c>
      <c r="H56" s="16">
        <v>340</v>
      </c>
      <c r="I56" s="16">
        <v>1</v>
      </c>
      <c r="J56" s="16" t="s">
        <v>352</v>
      </c>
      <c r="K56" s="16" t="s">
        <v>352</v>
      </c>
      <c r="L56" s="16" t="s">
        <v>352</v>
      </c>
      <c r="M56" s="16">
        <v>1</v>
      </c>
      <c r="N56" s="17">
        <v>176</v>
      </c>
    </row>
    <row r="57" spans="1:14" ht="15" thickBot="1" x14ac:dyDescent="0.4">
      <c r="A57" s="15" t="s">
        <v>377</v>
      </c>
      <c r="B57" s="16" t="s">
        <v>352</v>
      </c>
      <c r="C57" s="16" t="s">
        <v>352</v>
      </c>
      <c r="D57" s="16" t="s">
        <v>352</v>
      </c>
      <c r="E57" s="16">
        <v>798</v>
      </c>
      <c r="F57" s="16">
        <v>4</v>
      </c>
      <c r="G57" s="16">
        <v>36</v>
      </c>
      <c r="H57" s="16">
        <v>270</v>
      </c>
      <c r="I57" s="16">
        <v>2</v>
      </c>
      <c r="J57" s="16" t="s">
        <v>352</v>
      </c>
      <c r="K57" s="16" t="s">
        <v>352</v>
      </c>
      <c r="L57" s="16" t="s">
        <v>352</v>
      </c>
      <c r="M57" s="16">
        <v>2</v>
      </c>
      <c r="N57" s="17">
        <v>174.8</v>
      </c>
    </row>
    <row r="58" spans="1:14" ht="15" thickBot="1" x14ac:dyDescent="0.4">
      <c r="A58" s="15" t="s">
        <v>378</v>
      </c>
      <c r="B58" s="16" t="s">
        <v>352</v>
      </c>
      <c r="C58" s="16" t="s">
        <v>352</v>
      </c>
      <c r="D58" s="16" t="s">
        <v>352</v>
      </c>
      <c r="E58" s="16">
        <v>840</v>
      </c>
      <c r="F58" s="16">
        <v>7</v>
      </c>
      <c r="G58" s="16">
        <v>25</v>
      </c>
      <c r="H58" s="16">
        <v>185</v>
      </c>
      <c r="I58" s="16">
        <v>1</v>
      </c>
      <c r="J58" s="16" t="s">
        <v>352</v>
      </c>
      <c r="K58" s="16" t="s">
        <v>352</v>
      </c>
      <c r="L58" s="16" t="s">
        <v>352</v>
      </c>
      <c r="M58" s="16">
        <v>1</v>
      </c>
      <c r="N58" s="17">
        <v>173.5</v>
      </c>
    </row>
    <row r="59" spans="1:14" ht="15" thickBot="1" x14ac:dyDescent="0.4">
      <c r="A59" s="15" t="s">
        <v>379</v>
      </c>
      <c r="B59" s="16" t="s">
        <v>352</v>
      </c>
      <c r="C59" s="16" t="s">
        <v>352</v>
      </c>
      <c r="D59" s="16" t="s">
        <v>352</v>
      </c>
      <c r="E59" s="16">
        <v>590</v>
      </c>
      <c r="F59" s="16">
        <v>5</v>
      </c>
      <c r="G59" s="16">
        <v>38</v>
      </c>
      <c r="H59" s="16">
        <v>275</v>
      </c>
      <c r="I59" s="16">
        <v>2</v>
      </c>
      <c r="J59" s="16" t="s">
        <v>352</v>
      </c>
      <c r="K59" s="16" t="s">
        <v>352</v>
      </c>
      <c r="L59" s="16" t="s">
        <v>352</v>
      </c>
      <c r="M59" s="16">
        <v>2</v>
      </c>
      <c r="N59" s="17">
        <v>162.5</v>
      </c>
    </row>
    <row r="60" spans="1:14" ht="15" thickBot="1" x14ac:dyDescent="0.4">
      <c r="A60" s="15" t="s">
        <v>380</v>
      </c>
      <c r="B60" s="16" t="s">
        <v>352</v>
      </c>
      <c r="C60" s="16" t="s">
        <v>352</v>
      </c>
      <c r="D60" s="16" t="s">
        <v>352</v>
      </c>
      <c r="E60" s="16">
        <v>505</v>
      </c>
      <c r="F60" s="16">
        <v>4</v>
      </c>
      <c r="G60" s="16">
        <v>40</v>
      </c>
      <c r="H60" s="16">
        <v>315</v>
      </c>
      <c r="I60" s="16">
        <v>2</v>
      </c>
      <c r="J60" s="16">
        <v>1</v>
      </c>
      <c r="K60" s="16" t="s">
        <v>352</v>
      </c>
      <c r="L60" s="16" t="s">
        <v>352</v>
      </c>
      <c r="M60" s="16">
        <v>1</v>
      </c>
      <c r="N60" s="17">
        <v>162</v>
      </c>
    </row>
    <row r="61" spans="1:14" ht="15" thickBot="1" x14ac:dyDescent="0.4">
      <c r="A61" s="15" t="s">
        <v>381</v>
      </c>
      <c r="B61" s="16" t="s">
        <v>352</v>
      </c>
      <c r="C61" s="16" t="s">
        <v>352</v>
      </c>
      <c r="D61" s="16" t="s">
        <v>352</v>
      </c>
      <c r="E61" s="16">
        <v>601</v>
      </c>
      <c r="F61" s="16">
        <v>5</v>
      </c>
      <c r="G61" s="16">
        <v>39</v>
      </c>
      <c r="H61" s="16">
        <v>285</v>
      </c>
      <c r="I61" s="16">
        <v>1</v>
      </c>
      <c r="J61" s="16" t="s">
        <v>352</v>
      </c>
      <c r="K61" s="16" t="s">
        <v>352</v>
      </c>
      <c r="L61" s="16" t="s">
        <v>352</v>
      </c>
      <c r="M61" s="16">
        <v>1</v>
      </c>
      <c r="N61" s="17">
        <v>161.6</v>
      </c>
    </row>
    <row r="62" spans="1:14" ht="15" thickBot="1" x14ac:dyDescent="0.4">
      <c r="A62" s="15" t="s">
        <v>382</v>
      </c>
      <c r="B62" s="16" t="s">
        <v>352</v>
      </c>
      <c r="C62" s="16" t="s">
        <v>352</v>
      </c>
      <c r="D62" s="16" t="s">
        <v>352</v>
      </c>
      <c r="E62" s="16">
        <v>582</v>
      </c>
      <c r="F62" s="16">
        <v>4</v>
      </c>
      <c r="G62" s="16">
        <v>39</v>
      </c>
      <c r="H62" s="16">
        <v>295</v>
      </c>
      <c r="I62" s="16">
        <v>2</v>
      </c>
      <c r="J62" s="16" t="s">
        <v>352</v>
      </c>
      <c r="K62" s="16" t="s">
        <v>352</v>
      </c>
      <c r="L62" s="16" t="s">
        <v>352</v>
      </c>
      <c r="M62" s="16">
        <v>1</v>
      </c>
      <c r="N62" s="17">
        <v>160.69999999999999</v>
      </c>
    </row>
    <row r="63" spans="1:14" ht="15" thickBot="1" x14ac:dyDescent="0.4">
      <c r="A63" s="15" t="s">
        <v>383</v>
      </c>
      <c r="B63" s="16" t="s">
        <v>352</v>
      </c>
      <c r="C63" s="16" t="s">
        <v>352</v>
      </c>
      <c r="D63" s="16" t="s">
        <v>352</v>
      </c>
      <c r="E63" s="16">
        <v>715</v>
      </c>
      <c r="F63" s="16">
        <v>5</v>
      </c>
      <c r="G63" s="16">
        <v>20</v>
      </c>
      <c r="H63" s="16">
        <v>145</v>
      </c>
      <c r="I63" s="16">
        <v>1</v>
      </c>
      <c r="J63" s="16" t="s">
        <v>352</v>
      </c>
      <c r="K63" s="16" t="s">
        <v>352</v>
      </c>
      <c r="L63" s="16" t="s">
        <v>352</v>
      </c>
      <c r="M63" s="16" t="s">
        <v>352</v>
      </c>
      <c r="N63" s="17">
        <v>142</v>
      </c>
    </row>
    <row r="64" spans="1:14" ht="15" thickBot="1" x14ac:dyDescent="0.4">
      <c r="A64" s="15" t="s">
        <v>384</v>
      </c>
      <c r="B64" s="16" t="s">
        <v>352</v>
      </c>
      <c r="C64" s="16" t="s">
        <v>352</v>
      </c>
      <c r="D64" s="16" t="s">
        <v>352</v>
      </c>
      <c r="E64" s="16">
        <v>545</v>
      </c>
      <c r="F64" s="16">
        <v>4</v>
      </c>
      <c r="G64" s="16">
        <v>32</v>
      </c>
      <c r="H64" s="16">
        <v>231</v>
      </c>
      <c r="I64" s="16">
        <v>1</v>
      </c>
      <c r="J64" s="16" t="s">
        <v>352</v>
      </c>
      <c r="K64" s="16" t="s">
        <v>352</v>
      </c>
      <c r="L64" s="16" t="s">
        <v>352</v>
      </c>
      <c r="M64" s="16" t="s">
        <v>352</v>
      </c>
      <c r="N64" s="17">
        <v>139.6</v>
      </c>
    </row>
    <row r="65" spans="1:14" ht="15" thickBot="1" x14ac:dyDescent="0.4">
      <c r="A65" s="15" t="s">
        <v>385</v>
      </c>
      <c r="B65" s="16" t="s">
        <v>352</v>
      </c>
      <c r="C65" s="16" t="s">
        <v>352</v>
      </c>
      <c r="D65" s="16" t="s">
        <v>352</v>
      </c>
      <c r="E65" s="16">
        <v>552</v>
      </c>
      <c r="F65" s="16">
        <v>3</v>
      </c>
      <c r="G65" s="16">
        <v>27</v>
      </c>
      <c r="H65" s="16">
        <v>205</v>
      </c>
      <c r="I65" s="16">
        <v>1</v>
      </c>
      <c r="J65" s="16" t="s">
        <v>352</v>
      </c>
      <c r="K65" s="16" t="s">
        <v>352</v>
      </c>
      <c r="L65" s="16" t="s">
        <v>352</v>
      </c>
      <c r="M65" s="16" t="s">
        <v>352</v>
      </c>
      <c r="N65" s="17">
        <v>126.7</v>
      </c>
    </row>
    <row r="66" spans="1:14" ht="15" thickBot="1" x14ac:dyDescent="0.4">
      <c r="A66" s="15" t="s">
        <v>386</v>
      </c>
      <c r="B66" s="16" t="s">
        <v>352</v>
      </c>
      <c r="C66" s="16" t="s">
        <v>352</v>
      </c>
      <c r="D66" s="16" t="s">
        <v>352</v>
      </c>
      <c r="E66" s="16">
        <v>568</v>
      </c>
      <c r="F66" s="16">
        <v>4</v>
      </c>
      <c r="G66" s="16">
        <v>24</v>
      </c>
      <c r="H66" s="16">
        <v>178</v>
      </c>
      <c r="I66" s="16">
        <v>1</v>
      </c>
      <c r="J66" s="16" t="s">
        <v>352</v>
      </c>
      <c r="K66" s="16" t="s">
        <v>352</v>
      </c>
      <c r="L66" s="16" t="s">
        <v>352</v>
      </c>
      <c r="M66" s="16">
        <v>1</v>
      </c>
      <c r="N66" s="17">
        <v>126.6</v>
      </c>
    </row>
    <row r="67" spans="1:14" ht="15" thickBot="1" x14ac:dyDescent="0.4">
      <c r="A67" s="15" t="s">
        <v>387</v>
      </c>
      <c r="B67" s="16" t="s">
        <v>352</v>
      </c>
      <c r="C67" s="16" t="s">
        <v>352</v>
      </c>
      <c r="D67" s="16" t="s">
        <v>352</v>
      </c>
      <c r="E67" s="16">
        <v>524</v>
      </c>
      <c r="F67" s="16">
        <v>5</v>
      </c>
      <c r="G67" s="16">
        <v>20</v>
      </c>
      <c r="H67" s="16">
        <v>195</v>
      </c>
      <c r="I67" s="16">
        <v>1</v>
      </c>
      <c r="J67" s="16" t="s">
        <v>352</v>
      </c>
      <c r="K67" s="16" t="s">
        <v>352</v>
      </c>
      <c r="L67" s="16" t="s">
        <v>352</v>
      </c>
      <c r="M67" s="16">
        <v>1</v>
      </c>
      <c r="N67" s="17">
        <v>125.9</v>
      </c>
    </row>
    <row r="68" spans="1:14" ht="15" thickBot="1" x14ac:dyDescent="0.4">
      <c r="A68" s="15" t="s">
        <v>388</v>
      </c>
      <c r="B68" s="16" t="s">
        <v>352</v>
      </c>
      <c r="C68" s="16" t="s">
        <v>352</v>
      </c>
      <c r="D68" s="16" t="s">
        <v>352</v>
      </c>
      <c r="E68" s="16">
        <v>540</v>
      </c>
      <c r="F68" s="16">
        <v>4</v>
      </c>
      <c r="G68" s="16">
        <v>24</v>
      </c>
      <c r="H68" s="16">
        <v>172</v>
      </c>
      <c r="I68" s="16">
        <v>1</v>
      </c>
      <c r="J68" s="16" t="s">
        <v>352</v>
      </c>
      <c r="K68" s="16" t="s">
        <v>352</v>
      </c>
      <c r="L68" s="16" t="s">
        <v>352</v>
      </c>
      <c r="M68" s="16">
        <v>1</v>
      </c>
      <c r="N68" s="17">
        <v>123.2</v>
      </c>
    </row>
    <row r="69" spans="1:14" ht="15" thickBot="1" x14ac:dyDescent="0.4">
      <c r="A69" s="15" t="s">
        <v>389</v>
      </c>
      <c r="B69" s="16" t="s">
        <v>352</v>
      </c>
      <c r="C69" s="16" t="s">
        <v>352</v>
      </c>
      <c r="D69" s="16" t="s">
        <v>352</v>
      </c>
      <c r="E69" s="16">
        <v>587</v>
      </c>
      <c r="F69" s="16">
        <v>5</v>
      </c>
      <c r="G69" s="16">
        <v>15</v>
      </c>
      <c r="H69" s="16">
        <v>112</v>
      </c>
      <c r="I69" s="16">
        <v>1</v>
      </c>
      <c r="J69" s="16" t="s">
        <v>352</v>
      </c>
      <c r="K69" s="16" t="s">
        <v>352</v>
      </c>
      <c r="L69" s="16" t="s">
        <v>352</v>
      </c>
      <c r="M69" s="16" t="s">
        <v>352</v>
      </c>
      <c r="N69" s="17">
        <v>120.9</v>
      </c>
    </row>
    <row r="70" spans="1:14" ht="15" thickBot="1" x14ac:dyDescent="0.4">
      <c r="A70" s="18" t="s">
        <v>524</v>
      </c>
      <c r="B70" s="16" t="s">
        <v>352</v>
      </c>
      <c r="C70" s="16" t="s">
        <v>352</v>
      </c>
      <c r="D70" s="16" t="s">
        <v>352</v>
      </c>
      <c r="E70" s="16">
        <v>528</v>
      </c>
      <c r="F70" s="16">
        <v>4</v>
      </c>
      <c r="G70" s="16">
        <v>21</v>
      </c>
      <c r="H70" s="16">
        <v>155</v>
      </c>
      <c r="I70" s="16">
        <v>1</v>
      </c>
      <c r="J70" s="16" t="s">
        <v>352</v>
      </c>
      <c r="K70" s="16" t="s">
        <v>352</v>
      </c>
      <c r="L70" s="16" t="s">
        <v>352</v>
      </c>
      <c r="M70" s="16" t="s">
        <v>352</v>
      </c>
      <c r="N70" s="17">
        <v>119.3</v>
      </c>
    </row>
    <row r="71" spans="1:14" ht="15" thickBot="1" x14ac:dyDescent="0.4">
      <c r="A71" s="15" t="s">
        <v>390</v>
      </c>
      <c r="B71" s="16" t="s">
        <v>352</v>
      </c>
      <c r="C71" s="16" t="s">
        <v>352</v>
      </c>
      <c r="D71" s="16" t="s">
        <v>352</v>
      </c>
      <c r="E71" s="16">
        <v>550</v>
      </c>
      <c r="F71" s="16">
        <v>5</v>
      </c>
      <c r="G71" s="16">
        <v>17</v>
      </c>
      <c r="H71" s="16">
        <v>131</v>
      </c>
      <c r="I71" s="16">
        <v>1</v>
      </c>
      <c r="J71" s="16" t="s">
        <v>352</v>
      </c>
      <c r="K71" s="16" t="s">
        <v>352</v>
      </c>
      <c r="L71" s="16" t="s">
        <v>352</v>
      </c>
      <c r="M71" s="16">
        <v>1</v>
      </c>
      <c r="N71" s="17">
        <v>119.1</v>
      </c>
    </row>
    <row r="72" spans="1:14" ht="15" thickBot="1" x14ac:dyDescent="0.4">
      <c r="A72" s="15" t="s">
        <v>391</v>
      </c>
      <c r="B72" s="16" t="s">
        <v>352</v>
      </c>
      <c r="C72" s="16" t="s">
        <v>352</v>
      </c>
      <c r="D72" s="16" t="s">
        <v>352</v>
      </c>
      <c r="E72" s="16">
        <v>545</v>
      </c>
      <c r="F72" s="16">
        <v>5</v>
      </c>
      <c r="G72" s="16">
        <v>15</v>
      </c>
      <c r="H72" s="16">
        <v>111</v>
      </c>
      <c r="I72" s="16">
        <v>1</v>
      </c>
      <c r="J72" s="16" t="s">
        <v>352</v>
      </c>
      <c r="K72" s="16" t="s">
        <v>352</v>
      </c>
      <c r="L72" s="16" t="s">
        <v>352</v>
      </c>
      <c r="M72" s="16" t="s">
        <v>352</v>
      </c>
      <c r="N72" s="17">
        <v>116.6</v>
      </c>
    </row>
    <row r="73" spans="1:14" ht="15" thickBot="1" x14ac:dyDescent="0.4">
      <c r="A73" s="15" t="s">
        <v>392</v>
      </c>
      <c r="B73" s="16" t="s">
        <v>352</v>
      </c>
      <c r="C73" s="16" t="s">
        <v>352</v>
      </c>
      <c r="D73" s="16" t="s">
        <v>352</v>
      </c>
      <c r="E73" s="16">
        <v>390</v>
      </c>
      <c r="F73" s="16">
        <v>2</v>
      </c>
      <c r="G73" s="16">
        <v>35</v>
      </c>
      <c r="H73" s="16">
        <v>255</v>
      </c>
      <c r="I73" s="16">
        <v>1</v>
      </c>
      <c r="J73" s="16" t="s">
        <v>352</v>
      </c>
      <c r="K73" s="16" t="s">
        <v>352</v>
      </c>
      <c r="L73" s="16" t="s">
        <v>352</v>
      </c>
      <c r="M73" s="16">
        <v>1</v>
      </c>
      <c r="N73" s="17">
        <v>115.5</v>
      </c>
    </row>
    <row r="74" spans="1:14" ht="15" thickBot="1" x14ac:dyDescent="0.4">
      <c r="A74" s="15" t="s">
        <v>393</v>
      </c>
      <c r="B74" s="16" t="s">
        <v>352</v>
      </c>
      <c r="C74" s="16" t="s">
        <v>352</v>
      </c>
      <c r="D74" s="16" t="s">
        <v>352</v>
      </c>
      <c r="E74" s="16">
        <v>591</v>
      </c>
      <c r="F74" s="16">
        <v>4</v>
      </c>
      <c r="G74" s="16">
        <v>16</v>
      </c>
      <c r="H74" s="16">
        <v>117</v>
      </c>
      <c r="I74" s="16">
        <v>1</v>
      </c>
      <c r="J74" s="16" t="s">
        <v>352</v>
      </c>
      <c r="K74" s="16" t="s">
        <v>352</v>
      </c>
      <c r="L74" s="16" t="s">
        <v>352</v>
      </c>
      <c r="M74" s="16">
        <v>1</v>
      </c>
      <c r="N74" s="17">
        <v>114.8</v>
      </c>
    </row>
    <row r="75" spans="1:14" ht="15" thickBot="1" x14ac:dyDescent="0.4">
      <c r="A75" s="15" t="s">
        <v>394</v>
      </c>
      <c r="B75" s="16" t="s">
        <v>352</v>
      </c>
      <c r="C75" s="16" t="s">
        <v>352</v>
      </c>
      <c r="D75" s="16" t="s">
        <v>352</v>
      </c>
      <c r="E75" s="16">
        <v>473</v>
      </c>
      <c r="F75" s="16">
        <v>3</v>
      </c>
      <c r="G75" s="16">
        <v>25</v>
      </c>
      <c r="H75" s="16">
        <v>191</v>
      </c>
      <c r="I75" s="16">
        <v>1</v>
      </c>
      <c r="J75" s="16" t="s">
        <v>352</v>
      </c>
      <c r="K75" s="16" t="s">
        <v>352</v>
      </c>
      <c r="L75" s="16" t="s">
        <v>352</v>
      </c>
      <c r="M75" s="16">
        <v>1</v>
      </c>
      <c r="N75" s="17">
        <v>113.4</v>
      </c>
    </row>
    <row r="76" spans="1:14" ht="15" thickBot="1" x14ac:dyDescent="0.4">
      <c r="A76" s="15" t="s">
        <v>395</v>
      </c>
      <c r="B76" s="16" t="s">
        <v>352</v>
      </c>
      <c r="C76" s="16" t="s">
        <v>352</v>
      </c>
      <c r="D76" s="16" t="s">
        <v>352</v>
      </c>
      <c r="E76" s="16">
        <v>575</v>
      </c>
      <c r="F76" s="16">
        <v>4</v>
      </c>
      <c r="G76" s="16">
        <v>14</v>
      </c>
      <c r="H76" s="16">
        <v>106</v>
      </c>
      <c r="I76" s="16">
        <v>1</v>
      </c>
      <c r="J76" s="16" t="s">
        <v>352</v>
      </c>
      <c r="K76" s="16" t="s">
        <v>352</v>
      </c>
      <c r="L76" s="16" t="s">
        <v>352</v>
      </c>
      <c r="M76" s="16">
        <v>1</v>
      </c>
      <c r="N76" s="17">
        <v>110.1</v>
      </c>
    </row>
    <row r="77" spans="1:14" ht="15" thickBot="1" x14ac:dyDescent="0.4">
      <c r="A77" s="15" t="s">
        <v>396</v>
      </c>
      <c r="B77" s="16" t="s">
        <v>352</v>
      </c>
      <c r="C77" s="16" t="s">
        <v>352</v>
      </c>
      <c r="D77" s="16" t="s">
        <v>352</v>
      </c>
      <c r="E77" s="16">
        <v>373</v>
      </c>
      <c r="F77" s="16">
        <v>3</v>
      </c>
      <c r="G77" s="16">
        <v>28</v>
      </c>
      <c r="H77" s="16">
        <v>198</v>
      </c>
      <c r="I77" s="16">
        <v>1</v>
      </c>
      <c r="J77" s="16" t="s">
        <v>352</v>
      </c>
      <c r="K77" s="16" t="s">
        <v>352</v>
      </c>
      <c r="L77" s="16" t="s">
        <v>352</v>
      </c>
      <c r="M77" s="16">
        <v>1</v>
      </c>
      <c r="N77" s="17">
        <v>107.1</v>
      </c>
    </row>
    <row r="78" spans="1:14" ht="15" thickBot="1" x14ac:dyDescent="0.4">
      <c r="A78" s="15" t="s">
        <v>397</v>
      </c>
      <c r="B78" s="16" t="s">
        <v>352</v>
      </c>
      <c r="C78" s="16" t="s">
        <v>352</v>
      </c>
      <c r="D78" s="16" t="s">
        <v>352</v>
      </c>
      <c r="E78" s="16">
        <v>355</v>
      </c>
      <c r="F78" s="16">
        <v>3</v>
      </c>
      <c r="G78" s="16">
        <v>28</v>
      </c>
      <c r="H78" s="16">
        <v>213</v>
      </c>
      <c r="I78" s="16">
        <v>1</v>
      </c>
      <c r="J78" s="16" t="s">
        <v>352</v>
      </c>
      <c r="K78" s="16" t="s">
        <v>352</v>
      </c>
      <c r="L78" s="16" t="s">
        <v>352</v>
      </c>
      <c r="M78" s="16">
        <v>1</v>
      </c>
      <c r="N78" s="17">
        <v>106.8</v>
      </c>
    </row>
    <row r="79" spans="1:14" ht="15" thickBot="1" x14ac:dyDescent="0.4">
      <c r="A79" s="15" t="s">
        <v>398</v>
      </c>
      <c r="B79" s="16" t="s">
        <v>352</v>
      </c>
      <c r="C79" s="16" t="s">
        <v>352</v>
      </c>
      <c r="D79" s="16" t="s">
        <v>352</v>
      </c>
      <c r="E79" s="16">
        <v>434</v>
      </c>
      <c r="F79" s="16">
        <v>3</v>
      </c>
      <c r="G79" s="16">
        <v>22</v>
      </c>
      <c r="H79" s="16">
        <v>165</v>
      </c>
      <c r="I79" s="16">
        <v>1</v>
      </c>
      <c r="J79" s="16" t="s">
        <v>352</v>
      </c>
      <c r="K79" s="16" t="s">
        <v>352</v>
      </c>
      <c r="L79" s="16" t="s">
        <v>352</v>
      </c>
      <c r="M79" s="16" t="s">
        <v>352</v>
      </c>
      <c r="N79" s="17">
        <v>105.9</v>
      </c>
    </row>
    <row r="80" spans="1:14" ht="15" thickBot="1" x14ac:dyDescent="0.4">
      <c r="A80" s="7"/>
      <c r="B80" s="19" t="s">
        <v>314</v>
      </c>
      <c r="C80" s="20"/>
      <c r="D80" s="21"/>
      <c r="E80" s="19" t="s">
        <v>315</v>
      </c>
      <c r="F80" s="21"/>
      <c r="G80" s="19" t="s">
        <v>316</v>
      </c>
      <c r="H80" s="20"/>
      <c r="I80" s="21"/>
      <c r="J80" s="10" t="s">
        <v>317</v>
      </c>
      <c r="K80" s="19" t="s">
        <v>318</v>
      </c>
      <c r="L80" s="21"/>
      <c r="M80" s="10" t="s">
        <v>319</v>
      </c>
      <c r="N80" s="11" t="s">
        <v>320</v>
      </c>
    </row>
    <row r="81" spans="1:14" x14ac:dyDescent="0.35">
      <c r="A81" s="12" t="s">
        <v>312</v>
      </c>
      <c r="B81" s="13" t="s">
        <v>346</v>
      </c>
      <c r="C81" s="13" t="s">
        <v>28</v>
      </c>
      <c r="D81" s="13" t="s">
        <v>347</v>
      </c>
      <c r="E81" s="13" t="s">
        <v>346</v>
      </c>
      <c r="F81" s="13" t="s">
        <v>28</v>
      </c>
      <c r="G81" s="13" t="s">
        <v>348</v>
      </c>
      <c r="H81" s="13" t="s">
        <v>346</v>
      </c>
      <c r="I81" s="13" t="s">
        <v>28</v>
      </c>
      <c r="J81" s="13" t="s">
        <v>28</v>
      </c>
      <c r="K81" s="13" t="s">
        <v>349</v>
      </c>
      <c r="L81" s="13" t="s">
        <v>350</v>
      </c>
      <c r="M81" s="13" t="s">
        <v>351</v>
      </c>
      <c r="N81" s="14" t="s">
        <v>321</v>
      </c>
    </row>
    <row r="82" spans="1:14" ht="15" thickBot="1" x14ac:dyDescent="0.4">
      <c r="A82" s="15" t="s">
        <v>399</v>
      </c>
      <c r="B82" s="16" t="s">
        <v>352</v>
      </c>
      <c r="C82" s="16" t="s">
        <v>352</v>
      </c>
      <c r="D82" s="16" t="s">
        <v>352</v>
      </c>
      <c r="E82" s="16">
        <v>23</v>
      </c>
      <c r="F82" s="16" t="s">
        <v>352</v>
      </c>
      <c r="G82" s="16">
        <v>113</v>
      </c>
      <c r="H82" s="16">
        <v>1490</v>
      </c>
      <c r="I82" s="16">
        <v>11</v>
      </c>
      <c r="J82" s="16" t="s">
        <v>352</v>
      </c>
      <c r="K82" s="16" t="s">
        <v>352</v>
      </c>
      <c r="L82" s="16" t="s">
        <v>352</v>
      </c>
      <c r="M82" s="16">
        <v>1</v>
      </c>
      <c r="N82" s="17">
        <v>328.3</v>
      </c>
    </row>
    <row r="83" spans="1:14" ht="15" thickBot="1" x14ac:dyDescent="0.4">
      <c r="A83" s="15" t="s">
        <v>400</v>
      </c>
      <c r="B83" s="16" t="s">
        <v>352</v>
      </c>
      <c r="C83" s="16" t="s">
        <v>352</v>
      </c>
      <c r="D83" s="16" t="s">
        <v>352</v>
      </c>
      <c r="E83" s="16">
        <v>81</v>
      </c>
      <c r="F83" s="16">
        <v>1</v>
      </c>
      <c r="G83" s="16">
        <v>108</v>
      </c>
      <c r="H83" s="16">
        <v>1324</v>
      </c>
      <c r="I83" s="16">
        <v>8</v>
      </c>
      <c r="J83" s="16" t="s">
        <v>352</v>
      </c>
      <c r="K83" s="16" t="s">
        <v>352</v>
      </c>
      <c r="L83" s="16" t="s">
        <v>352</v>
      </c>
      <c r="M83" s="16">
        <v>1</v>
      </c>
      <c r="N83" s="17">
        <v>300.5</v>
      </c>
    </row>
    <row r="84" spans="1:14" ht="15" thickBot="1" x14ac:dyDescent="0.4">
      <c r="A84" s="15" t="s">
        <v>401</v>
      </c>
      <c r="B84" s="16" t="s">
        <v>352</v>
      </c>
      <c r="C84" s="16" t="s">
        <v>352</v>
      </c>
      <c r="D84" s="16" t="s">
        <v>352</v>
      </c>
      <c r="E84" s="16">
        <v>6</v>
      </c>
      <c r="F84" s="16" t="s">
        <v>352</v>
      </c>
      <c r="G84" s="16">
        <v>102</v>
      </c>
      <c r="H84" s="16">
        <v>1437</v>
      </c>
      <c r="I84" s="16">
        <v>9</v>
      </c>
      <c r="J84" s="16" t="s">
        <v>352</v>
      </c>
      <c r="K84" s="16" t="s">
        <v>352</v>
      </c>
      <c r="L84" s="16" t="s">
        <v>352</v>
      </c>
      <c r="M84" s="16">
        <v>1</v>
      </c>
      <c r="N84" s="17">
        <v>298.3</v>
      </c>
    </row>
    <row r="85" spans="1:14" ht="15" thickBot="1" x14ac:dyDescent="0.4">
      <c r="A85" s="15" t="s">
        <v>402</v>
      </c>
      <c r="B85" s="16" t="s">
        <v>352</v>
      </c>
      <c r="C85" s="16" t="s">
        <v>352</v>
      </c>
      <c r="D85" s="16" t="s">
        <v>352</v>
      </c>
      <c r="E85" s="16">
        <v>35</v>
      </c>
      <c r="F85" s="16" t="s">
        <v>352</v>
      </c>
      <c r="G85" s="16">
        <v>102</v>
      </c>
      <c r="H85" s="16">
        <v>1230</v>
      </c>
      <c r="I85" s="16">
        <v>8</v>
      </c>
      <c r="J85" s="16" t="s">
        <v>352</v>
      </c>
      <c r="K85" s="16" t="s">
        <v>352</v>
      </c>
      <c r="L85" s="16" t="s">
        <v>352</v>
      </c>
      <c r="M85" s="16">
        <v>1</v>
      </c>
      <c r="N85" s="17">
        <v>274.5</v>
      </c>
    </row>
    <row r="86" spans="1:14" ht="15" thickBot="1" x14ac:dyDescent="0.4">
      <c r="A86" s="15" t="s">
        <v>403</v>
      </c>
      <c r="B86" s="16" t="s">
        <v>352</v>
      </c>
      <c r="C86" s="16" t="s">
        <v>352</v>
      </c>
      <c r="D86" s="16" t="s">
        <v>352</v>
      </c>
      <c r="E86" s="16">
        <v>18</v>
      </c>
      <c r="F86" s="16" t="s">
        <v>352</v>
      </c>
      <c r="G86" s="16">
        <v>96</v>
      </c>
      <c r="H86" s="16">
        <v>1305</v>
      </c>
      <c r="I86" s="16">
        <v>8</v>
      </c>
      <c r="J86" s="16" t="s">
        <v>352</v>
      </c>
      <c r="K86" s="16" t="s">
        <v>352</v>
      </c>
      <c r="L86" s="16" t="s">
        <v>352</v>
      </c>
      <c r="M86" s="16">
        <v>1</v>
      </c>
      <c r="N86" s="17">
        <v>274.3</v>
      </c>
    </row>
    <row r="87" spans="1:14" ht="15" thickBot="1" x14ac:dyDescent="0.4">
      <c r="A87" s="15" t="s">
        <v>404</v>
      </c>
      <c r="B87" s="16" t="s">
        <v>352</v>
      </c>
      <c r="C87" s="16" t="s">
        <v>352</v>
      </c>
      <c r="D87" s="16" t="s">
        <v>352</v>
      </c>
      <c r="E87" s="16">
        <v>75</v>
      </c>
      <c r="F87" s="16">
        <v>1</v>
      </c>
      <c r="G87" s="16">
        <v>97</v>
      </c>
      <c r="H87" s="16">
        <v>1237</v>
      </c>
      <c r="I87" s="16">
        <v>7</v>
      </c>
      <c r="J87" s="16" t="s">
        <v>352</v>
      </c>
      <c r="K87" s="16" t="s">
        <v>352</v>
      </c>
      <c r="L87" s="16" t="s">
        <v>352</v>
      </c>
      <c r="M87" s="16">
        <v>1</v>
      </c>
      <c r="N87" s="17">
        <v>274.2</v>
      </c>
    </row>
    <row r="88" spans="1:14" ht="15" thickBot="1" x14ac:dyDescent="0.4">
      <c r="A88" s="15" t="s">
        <v>405</v>
      </c>
      <c r="B88" s="16" t="s">
        <v>352</v>
      </c>
      <c r="C88" s="16" t="s">
        <v>352</v>
      </c>
      <c r="D88" s="16" t="s">
        <v>352</v>
      </c>
      <c r="E88" s="16">
        <v>6</v>
      </c>
      <c r="F88" s="16" t="s">
        <v>352</v>
      </c>
      <c r="G88" s="16">
        <v>91</v>
      </c>
      <c r="H88" s="16">
        <v>1305</v>
      </c>
      <c r="I88" s="16">
        <v>9</v>
      </c>
      <c r="J88" s="16" t="s">
        <v>352</v>
      </c>
      <c r="K88" s="16" t="s">
        <v>352</v>
      </c>
      <c r="L88" s="16" t="s">
        <v>352</v>
      </c>
      <c r="M88" s="16">
        <v>1</v>
      </c>
      <c r="N88" s="17">
        <v>274.10000000000002</v>
      </c>
    </row>
    <row r="89" spans="1:14" ht="15" thickBot="1" x14ac:dyDescent="0.4">
      <c r="A89" s="15" t="s">
        <v>406</v>
      </c>
      <c r="B89" s="16" t="s">
        <v>352</v>
      </c>
      <c r="C89" s="16" t="s">
        <v>352</v>
      </c>
      <c r="D89" s="16" t="s">
        <v>352</v>
      </c>
      <c r="E89" s="16">
        <v>12</v>
      </c>
      <c r="F89" s="16" t="s">
        <v>352</v>
      </c>
      <c r="G89" s="16">
        <v>105</v>
      </c>
      <c r="H89" s="16">
        <v>1215</v>
      </c>
      <c r="I89" s="16">
        <v>8</v>
      </c>
      <c r="J89" s="16" t="s">
        <v>352</v>
      </c>
      <c r="K89" s="16" t="s">
        <v>352</v>
      </c>
      <c r="L89" s="16" t="s">
        <v>352</v>
      </c>
      <c r="M89" s="16">
        <v>1</v>
      </c>
      <c r="N89" s="17">
        <v>273.7</v>
      </c>
    </row>
    <row r="90" spans="1:14" ht="15" thickBot="1" x14ac:dyDescent="0.4">
      <c r="A90" s="18" t="s">
        <v>525</v>
      </c>
      <c r="B90" s="16" t="s">
        <v>352</v>
      </c>
      <c r="C90" s="16" t="s">
        <v>352</v>
      </c>
      <c r="D90" s="16" t="s">
        <v>352</v>
      </c>
      <c r="E90" s="16">
        <v>11</v>
      </c>
      <c r="F90" s="16" t="s">
        <v>352</v>
      </c>
      <c r="G90" s="16">
        <v>98</v>
      </c>
      <c r="H90" s="16">
        <v>1235</v>
      </c>
      <c r="I90" s="16">
        <v>8</v>
      </c>
      <c r="J90" s="16" t="s">
        <v>352</v>
      </c>
      <c r="K90" s="16" t="s">
        <v>352</v>
      </c>
      <c r="L90" s="16" t="s">
        <v>352</v>
      </c>
      <c r="M90" s="16">
        <v>1</v>
      </c>
      <c r="N90" s="17">
        <v>268.60000000000002</v>
      </c>
    </row>
    <row r="91" spans="1:14" ht="15" thickBot="1" x14ac:dyDescent="0.4">
      <c r="A91" s="15" t="s">
        <v>407</v>
      </c>
      <c r="B91" s="16" t="s">
        <v>352</v>
      </c>
      <c r="C91" s="16" t="s">
        <v>352</v>
      </c>
      <c r="D91" s="16" t="s">
        <v>352</v>
      </c>
      <c r="E91" s="16">
        <v>35</v>
      </c>
      <c r="F91" s="16" t="s">
        <v>352</v>
      </c>
      <c r="G91" s="16">
        <v>89</v>
      </c>
      <c r="H91" s="16">
        <v>1194</v>
      </c>
      <c r="I91" s="16">
        <v>8</v>
      </c>
      <c r="J91" s="16" t="s">
        <v>352</v>
      </c>
      <c r="K91" s="16" t="s">
        <v>352</v>
      </c>
      <c r="L91" s="16" t="s">
        <v>352</v>
      </c>
      <c r="M91" s="16">
        <v>1</v>
      </c>
      <c r="N91" s="17">
        <v>257.89999999999998</v>
      </c>
    </row>
    <row r="92" spans="1:14" ht="15" thickBot="1" x14ac:dyDescent="0.4">
      <c r="A92" s="15" t="s">
        <v>408</v>
      </c>
      <c r="B92" s="16" t="s">
        <v>352</v>
      </c>
      <c r="C92" s="16" t="s">
        <v>352</v>
      </c>
      <c r="D92" s="16" t="s">
        <v>352</v>
      </c>
      <c r="E92" s="16" t="s">
        <v>352</v>
      </c>
      <c r="F92" s="16" t="s">
        <v>352</v>
      </c>
      <c r="G92" s="16">
        <v>86</v>
      </c>
      <c r="H92" s="16">
        <v>1270</v>
      </c>
      <c r="I92" s="16">
        <v>7</v>
      </c>
      <c r="J92" s="16" t="s">
        <v>352</v>
      </c>
      <c r="K92" s="16" t="s">
        <v>352</v>
      </c>
      <c r="L92" s="16" t="s">
        <v>352</v>
      </c>
      <c r="M92" s="16">
        <v>1</v>
      </c>
      <c r="N92" s="17">
        <v>253</v>
      </c>
    </row>
    <row r="93" spans="1:14" ht="15" thickBot="1" x14ac:dyDescent="0.4">
      <c r="A93" s="15" t="s">
        <v>409</v>
      </c>
      <c r="B93" s="16" t="s">
        <v>352</v>
      </c>
      <c r="C93" s="16" t="s">
        <v>352</v>
      </c>
      <c r="D93" s="16" t="s">
        <v>352</v>
      </c>
      <c r="E93" s="16">
        <v>7</v>
      </c>
      <c r="F93" s="16" t="s">
        <v>352</v>
      </c>
      <c r="G93" s="16">
        <v>88</v>
      </c>
      <c r="H93" s="16">
        <v>1114</v>
      </c>
      <c r="I93" s="16">
        <v>7</v>
      </c>
      <c r="J93" s="16" t="s">
        <v>352</v>
      </c>
      <c r="K93" s="16" t="s">
        <v>352</v>
      </c>
      <c r="L93" s="16" t="s">
        <v>352</v>
      </c>
      <c r="M93" s="16">
        <v>1</v>
      </c>
      <c r="N93" s="17">
        <v>240.1</v>
      </c>
    </row>
    <row r="94" spans="1:14" ht="15" thickBot="1" x14ac:dyDescent="0.4">
      <c r="A94" s="15" t="s">
        <v>410</v>
      </c>
      <c r="B94" s="16" t="s">
        <v>352</v>
      </c>
      <c r="C94" s="16" t="s">
        <v>352</v>
      </c>
      <c r="D94" s="16" t="s">
        <v>352</v>
      </c>
      <c r="E94" s="16">
        <v>37</v>
      </c>
      <c r="F94" s="16" t="s">
        <v>352</v>
      </c>
      <c r="G94" s="16">
        <v>89</v>
      </c>
      <c r="H94" s="16">
        <v>1115</v>
      </c>
      <c r="I94" s="16">
        <v>6</v>
      </c>
      <c r="J94" s="16" t="s">
        <v>352</v>
      </c>
      <c r="K94" s="16" t="s">
        <v>352</v>
      </c>
      <c r="L94" s="16" t="s">
        <v>352</v>
      </c>
      <c r="M94" s="16">
        <v>1</v>
      </c>
      <c r="N94" s="17">
        <v>238.2</v>
      </c>
    </row>
    <row r="95" spans="1:14" ht="15" thickBot="1" x14ac:dyDescent="0.4">
      <c r="A95" s="15" t="s">
        <v>411</v>
      </c>
      <c r="B95" s="16" t="s">
        <v>352</v>
      </c>
      <c r="C95" s="16" t="s">
        <v>352</v>
      </c>
      <c r="D95" s="16" t="s">
        <v>352</v>
      </c>
      <c r="E95" s="16">
        <v>6</v>
      </c>
      <c r="F95" s="16" t="s">
        <v>352</v>
      </c>
      <c r="G95" s="16">
        <v>80</v>
      </c>
      <c r="H95" s="16">
        <v>1141</v>
      </c>
      <c r="I95" s="16">
        <v>7</v>
      </c>
      <c r="J95" s="16" t="s">
        <v>352</v>
      </c>
      <c r="K95" s="16" t="s">
        <v>352</v>
      </c>
      <c r="L95" s="16" t="s">
        <v>352</v>
      </c>
      <c r="M95" s="16">
        <v>1</v>
      </c>
      <c r="N95" s="17">
        <v>234.7</v>
      </c>
    </row>
    <row r="96" spans="1:14" ht="15" thickBot="1" x14ac:dyDescent="0.4">
      <c r="A96" s="15" t="s">
        <v>412</v>
      </c>
      <c r="B96" s="16" t="s">
        <v>352</v>
      </c>
      <c r="C96" s="16" t="s">
        <v>352</v>
      </c>
      <c r="D96" s="16" t="s">
        <v>352</v>
      </c>
      <c r="E96" s="16" t="s">
        <v>352</v>
      </c>
      <c r="F96" s="16" t="s">
        <v>352</v>
      </c>
      <c r="G96" s="16">
        <v>82</v>
      </c>
      <c r="H96" s="16">
        <v>1057</v>
      </c>
      <c r="I96" s="16">
        <v>8</v>
      </c>
      <c r="J96" s="16" t="s">
        <v>352</v>
      </c>
      <c r="K96" s="16" t="s">
        <v>352</v>
      </c>
      <c r="L96" s="16" t="s">
        <v>352</v>
      </c>
      <c r="M96" s="16">
        <v>1</v>
      </c>
      <c r="N96" s="17">
        <v>233.7</v>
      </c>
    </row>
    <row r="97" spans="1:14" ht="15" thickBot="1" x14ac:dyDescent="0.4">
      <c r="A97" s="18" t="s">
        <v>526</v>
      </c>
      <c r="B97" s="16" t="s">
        <v>352</v>
      </c>
      <c r="C97" s="16" t="s">
        <v>352</v>
      </c>
      <c r="D97" s="16" t="s">
        <v>352</v>
      </c>
      <c r="E97" s="16">
        <v>16</v>
      </c>
      <c r="F97" s="16" t="s">
        <v>352</v>
      </c>
      <c r="G97" s="16">
        <v>80</v>
      </c>
      <c r="H97" s="16">
        <v>1112</v>
      </c>
      <c r="I97" s="16">
        <v>7</v>
      </c>
      <c r="J97" s="16" t="s">
        <v>352</v>
      </c>
      <c r="K97" s="16" t="s">
        <v>352</v>
      </c>
      <c r="L97" s="16" t="s">
        <v>352</v>
      </c>
      <c r="M97" s="16">
        <v>1</v>
      </c>
      <c r="N97" s="17">
        <v>232.8</v>
      </c>
    </row>
    <row r="98" spans="1:14" ht="15" thickBot="1" x14ac:dyDescent="0.4">
      <c r="A98" s="15" t="s">
        <v>413</v>
      </c>
      <c r="B98" s="16" t="s">
        <v>352</v>
      </c>
      <c r="C98" s="16" t="s">
        <v>352</v>
      </c>
      <c r="D98" s="16" t="s">
        <v>352</v>
      </c>
      <c r="E98" s="16" t="s">
        <v>352</v>
      </c>
      <c r="F98" s="16" t="s">
        <v>352</v>
      </c>
      <c r="G98" s="16">
        <v>82</v>
      </c>
      <c r="H98" s="16">
        <v>1040</v>
      </c>
      <c r="I98" s="16">
        <v>8</v>
      </c>
      <c r="J98" s="16" t="s">
        <v>352</v>
      </c>
      <c r="K98" s="16" t="s">
        <v>352</v>
      </c>
      <c r="L98" s="16" t="s">
        <v>352</v>
      </c>
      <c r="M98" s="16">
        <v>1</v>
      </c>
      <c r="N98" s="17">
        <v>232</v>
      </c>
    </row>
    <row r="99" spans="1:14" ht="15" thickBot="1" x14ac:dyDescent="0.4">
      <c r="A99" s="15" t="s">
        <v>414</v>
      </c>
      <c r="B99" s="16" t="s">
        <v>352</v>
      </c>
      <c r="C99" s="16" t="s">
        <v>352</v>
      </c>
      <c r="D99" s="16" t="s">
        <v>352</v>
      </c>
      <c r="E99" s="16">
        <v>6</v>
      </c>
      <c r="F99" s="16" t="s">
        <v>352</v>
      </c>
      <c r="G99" s="16">
        <v>79</v>
      </c>
      <c r="H99" s="16">
        <v>1121</v>
      </c>
      <c r="I99" s="16">
        <v>7</v>
      </c>
      <c r="J99" s="16" t="s">
        <v>352</v>
      </c>
      <c r="K99" s="16" t="s">
        <v>352</v>
      </c>
      <c r="L99" s="16" t="s">
        <v>352</v>
      </c>
      <c r="M99" s="16">
        <v>1</v>
      </c>
      <c r="N99" s="17">
        <v>231.7</v>
      </c>
    </row>
    <row r="100" spans="1:14" ht="15" thickBot="1" x14ac:dyDescent="0.4">
      <c r="A100" s="15" t="s">
        <v>415</v>
      </c>
      <c r="B100" s="16" t="s">
        <v>352</v>
      </c>
      <c r="C100" s="16" t="s">
        <v>352</v>
      </c>
      <c r="D100" s="16" t="s">
        <v>352</v>
      </c>
      <c r="E100" s="16" t="s">
        <v>352</v>
      </c>
      <c r="F100" s="16" t="s">
        <v>352</v>
      </c>
      <c r="G100" s="16">
        <v>73</v>
      </c>
      <c r="H100" s="16">
        <v>1043</v>
      </c>
      <c r="I100" s="16">
        <v>9</v>
      </c>
      <c r="J100" s="16" t="s">
        <v>352</v>
      </c>
      <c r="K100" s="16" t="s">
        <v>352</v>
      </c>
      <c r="L100" s="16" t="s">
        <v>352</v>
      </c>
      <c r="M100" s="16">
        <v>1</v>
      </c>
      <c r="N100" s="17">
        <v>229.3</v>
      </c>
    </row>
    <row r="101" spans="1:14" ht="15" thickBot="1" x14ac:dyDescent="0.4">
      <c r="A101" s="15" t="s">
        <v>416</v>
      </c>
      <c r="B101" s="16" t="s">
        <v>352</v>
      </c>
      <c r="C101" s="16" t="s">
        <v>352</v>
      </c>
      <c r="D101" s="16" t="s">
        <v>352</v>
      </c>
      <c r="E101" s="16">
        <v>28</v>
      </c>
      <c r="F101" s="16" t="s">
        <v>352</v>
      </c>
      <c r="G101" s="16">
        <v>83</v>
      </c>
      <c r="H101" s="16">
        <v>1032</v>
      </c>
      <c r="I101" s="16">
        <v>7</v>
      </c>
      <c r="J101" s="16" t="s">
        <v>352</v>
      </c>
      <c r="K101" s="16" t="s">
        <v>352</v>
      </c>
      <c r="L101" s="16" t="s">
        <v>352</v>
      </c>
      <c r="M101" s="16">
        <v>1</v>
      </c>
      <c r="N101" s="17">
        <v>229</v>
      </c>
    </row>
    <row r="102" spans="1:14" ht="15" thickBot="1" x14ac:dyDescent="0.4">
      <c r="A102" s="15" t="s">
        <v>417</v>
      </c>
      <c r="B102" s="16" t="s">
        <v>352</v>
      </c>
      <c r="C102" s="16" t="s">
        <v>352</v>
      </c>
      <c r="D102" s="16" t="s">
        <v>352</v>
      </c>
      <c r="E102" s="16">
        <v>43</v>
      </c>
      <c r="F102" s="16" t="s">
        <v>352</v>
      </c>
      <c r="G102" s="16">
        <v>87</v>
      </c>
      <c r="H102" s="16">
        <v>1007</v>
      </c>
      <c r="I102" s="16">
        <v>6</v>
      </c>
      <c r="J102" s="16" t="s">
        <v>352</v>
      </c>
      <c r="K102" s="16" t="s">
        <v>352</v>
      </c>
      <c r="L102" s="16" t="s">
        <v>352</v>
      </c>
      <c r="M102" s="16">
        <v>1</v>
      </c>
      <c r="N102" s="17">
        <v>226</v>
      </c>
    </row>
    <row r="103" spans="1:14" ht="15" thickBot="1" x14ac:dyDescent="0.4">
      <c r="A103" s="15" t="s">
        <v>418</v>
      </c>
      <c r="B103" s="16" t="s">
        <v>352</v>
      </c>
      <c r="C103" s="16" t="s">
        <v>352</v>
      </c>
      <c r="D103" s="16" t="s">
        <v>352</v>
      </c>
      <c r="E103" s="16">
        <v>67</v>
      </c>
      <c r="F103" s="16">
        <v>1</v>
      </c>
      <c r="G103" s="16">
        <v>68</v>
      </c>
      <c r="H103" s="16">
        <v>1013</v>
      </c>
      <c r="I103" s="16">
        <v>7</v>
      </c>
      <c r="J103" s="16" t="s">
        <v>352</v>
      </c>
      <c r="K103" s="16" t="s">
        <v>352</v>
      </c>
      <c r="L103" s="16" t="s">
        <v>352</v>
      </c>
      <c r="M103" s="16">
        <v>1</v>
      </c>
      <c r="N103" s="17">
        <v>222</v>
      </c>
    </row>
    <row r="104" spans="1:14" ht="15" thickBot="1" x14ac:dyDescent="0.4">
      <c r="A104" s="15" t="s">
        <v>419</v>
      </c>
      <c r="B104" s="16" t="s">
        <v>352</v>
      </c>
      <c r="C104" s="16" t="s">
        <v>352</v>
      </c>
      <c r="D104" s="16" t="s">
        <v>352</v>
      </c>
      <c r="E104" s="16">
        <v>46</v>
      </c>
      <c r="F104" s="16" t="s">
        <v>352</v>
      </c>
      <c r="G104" s="16">
        <v>80</v>
      </c>
      <c r="H104" s="16">
        <v>979</v>
      </c>
      <c r="I104" s="16">
        <v>6</v>
      </c>
      <c r="J104" s="16" t="s">
        <v>352</v>
      </c>
      <c r="K104" s="16" t="s">
        <v>352</v>
      </c>
      <c r="L104" s="16" t="s">
        <v>352</v>
      </c>
      <c r="M104" s="16">
        <v>1</v>
      </c>
      <c r="N104" s="17">
        <v>216.5</v>
      </c>
    </row>
    <row r="105" spans="1:14" ht="15" thickBot="1" x14ac:dyDescent="0.4">
      <c r="A105" s="15" t="s">
        <v>420</v>
      </c>
      <c r="B105" s="16" t="s">
        <v>352</v>
      </c>
      <c r="C105" s="16" t="s">
        <v>352</v>
      </c>
      <c r="D105" s="16" t="s">
        <v>352</v>
      </c>
      <c r="E105" s="16" t="s">
        <v>352</v>
      </c>
      <c r="F105" s="16" t="s">
        <v>352</v>
      </c>
      <c r="G105" s="16">
        <v>75</v>
      </c>
      <c r="H105" s="16">
        <v>1003</v>
      </c>
      <c r="I105" s="16">
        <v>7</v>
      </c>
      <c r="J105" s="16" t="s">
        <v>352</v>
      </c>
      <c r="K105" s="16" t="s">
        <v>352</v>
      </c>
      <c r="L105" s="16" t="s">
        <v>352</v>
      </c>
      <c r="M105" s="16">
        <v>1</v>
      </c>
      <c r="N105" s="17">
        <v>215.3</v>
      </c>
    </row>
    <row r="106" spans="1:14" ht="15" thickBot="1" x14ac:dyDescent="0.4">
      <c r="A106" s="15" t="s">
        <v>421</v>
      </c>
      <c r="B106" s="16" t="s">
        <v>352</v>
      </c>
      <c r="C106" s="16" t="s">
        <v>352</v>
      </c>
      <c r="D106" s="16" t="s">
        <v>352</v>
      </c>
      <c r="E106" s="16">
        <v>16</v>
      </c>
      <c r="F106" s="16" t="s">
        <v>352</v>
      </c>
      <c r="G106" s="16">
        <v>70</v>
      </c>
      <c r="H106" s="16">
        <v>1023</v>
      </c>
      <c r="I106" s="16">
        <v>7</v>
      </c>
      <c r="J106" s="16" t="s">
        <v>352</v>
      </c>
      <c r="K106" s="16" t="s">
        <v>352</v>
      </c>
      <c r="L106" s="16" t="s">
        <v>352</v>
      </c>
      <c r="M106" s="16">
        <v>1</v>
      </c>
      <c r="N106" s="17">
        <v>213.9</v>
      </c>
    </row>
    <row r="107" spans="1:14" ht="15" thickBot="1" x14ac:dyDescent="0.4">
      <c r="A107" s="15" t="s">
        <v>422</v>
      </c>
      <c r="B107" s="16" t="s">
        <v>352</v>
      </c>
      <c r="C107" s="16" t="s">
        <v>352</v>
      </c>
      <c r="D107" s="16" t="s">
        <v>352</v>
      </c>
      <c r="E107" s="16">
        <v>18</v>
      </c>
      <c r="F107" s="16" t="s">
        <v>352</v>
      </c>
      <c r="G107" s="16">
        <v>80</v>
      </c>
      <c r="H107" s="16">
        <v>1039</v>
      </c>
      <c r="I107" s="16">
        <v>5</v>
      </c>
      <c r="J107" s="16" t="s">
        <v>352</v>
      </c>
      <c r="K107" s="16" t="s">
        <v>352</v>
      </c>
      <c r="L107" s="16" t="s">
        <v>352</v>
      </c>
      <c r="M107" s="16">
        <v>1</v>
      </c>
      <c r="N107" s="17">
        <v>213.7</v>
      </c>
    </row>
    <row r="108" spans="1:14" ht="15" thickBot="1" x14ac:dyDescent="0.4">
      <c r="A108" s="15" t="s">
        <v>423</v>
      </c>
      <c r="B108" s="16" t="s">
        <v>352</v>
      </c>
      <c r="C108" s="16" t="s">
        <v>352</v>
      </c>
      <c r="D108" s="16" t="s">
        <v>352</v>
      </c>
      <c r="E108" s="16">
        <v>33</v>
      </c>
      <c r="F108" s="16" t="s">
        <v>352</v>
      </c>
      <c r="G108" s="16">
        <v>73</v>
      </c>
      <c r="H108" s="16">
        <v>1031</v>
      </c>
      <c r="I108" s="16">
        <v>6</v>
      </c>
      <c r="J108" s="16" t="s">
        <v>352</v>
      </c>
      <c r="K108" s="16" t="s">
        <v>352</v>
      </c>
      <c r="L108" s="16" t="s">
        <v>352</v>
      </c>
      <c r="M108" s="16">
        <v>1</v>
      </c>
      <c r="N108" s="17">
        <v>213.4</v>
      </c>
    </row>
    <row r="109" spans="1:14" ht="15" thickBot="1" x14ac:dyDescent="0.4">
      <c r="A109" s="15" t="s">
        <v>424</v>
      </c>
      <c r="B109" s="16" t="s">
        <v>352</v>
      </c>
      <c r="C109" s="16" t="s">
        <v>352</v>
      </c>
      <c r="D109" s="16" t="s">
        <v>352</v>
      </c>
      <c r="E109" s="16">
        <v>5</v>
      </c>
      <c r="F109" s="16" t="s">
        <v>352</v>
      </c>
      <c r="G109" s="16">
        <v>81</v>
      </c>
      <c r="H109" s="16">
        <v>955</v>
      </c>
      <c r="I109" s="16">
        <v>6</v>
      </c>
      <c r="J109" s="16" t="s">
        <v>352</v>
      </c>
      <c r="K109" s="16" t="s">
        <v>352</v>
      </c>
      <c r="L109" s="16" t="s">
        <v>352</v>
      </c>
      <c r="M109" s="16">
        <v>1</v>
      </c>
      <c r="N109" s="17">
        <v>211</v>
      </c>
    </row>
    <row r="110" spans="1:14" ht="15" thickBot="1" x14ac:dyDescent="0.4">
      <c r="A110" s="15" t="s">
        <v>425</v>
      </c>
      <c r="B110" s="16" t="s">
        <v>352</v>
      </c>
      <c r="C110" s="16" t="s">
        <v>352</v>
      </c>
      <c r="D110" s="16" t="s">
        <v>352</v>
      </c>
      <c r="E110" s="16">
        <v>23</v>
      </c>
      <c r="F110" s="16" t="s">
        <v>352</v>
      </c>
      <c r="G110" s="16">
        <v>74</v>
      </c>
      <c r="H110" s="16">
        <v>970</v>
      </c>
      <c r="I110" s="16">
        <v>6</v>
      </c>
      <c r="J110" s="16" t="s">
        <v>352</v>
      </c>
      <c r="K110" s="16" t="s">
        <v>352</v>
      </c>
      <c r="L110" s="16" t="s">
        <v>352</v>
      </c>
      <c r="M110" s="16">
        <v>1</v>
      </c>
      <c r="N110" s="17">
        <v>207.3</v>
      </c>
    </row>
    <row r="111" spans="1:14" ht="15" thickBot="1" x14ac:dyDescent="0.4">
      <c r="A111" s="15" t="s">
        <v>426</v>
      </c>
      <c r="B111" s="16" t="s">
        <v>352</v>
      </c>
      <c r="C111" s="16" t="s">
        <v>352</v>
      </c>
      <c r="D111" s="16" t="s">
        <v>352</v>
      </c>
      <c r="E111" s="16">
        <v>92</v>
      </c>
      <c r="F111" s="16">
        <v>1</v>
      </c>
      <c r="G111" s="16">
        <v>68</v>
      </c>
      <c r="H111" s="16">
        <v>840</v>
      </c>
      <c r="I111" s="16">
        <v>7</v>
      </c>
      <c r="J111" s="16" t="s">
        <v>352</v>
      </c>
      <c r="K111" s="16" t="s">
        <v>352</v>
      </c>
      <c r="L111" s="16" t="s">
        <v>352</v>
      </c>
      <c r="M111" s="16">
        <v>1</v>
      </c>
      <c r="N111" s="17">
        <v>207.2</v>
      </c>
    </row>
    <row r="112" spans="1:14" ht="15" thickBot="1" x14ac:dyDescent="0.4">
      <c r="A112" s="15" t="s">
        <v>427</v>
      </c>
      <c r="B112" s="16" t="s">
        <v>352</v>
      </c>
      <c r="C112" s="16" t="s">
        <v>352</v>
      </c>
      <c r="D112" s="16" t="s">
        <v>352</v>
      </c>
      <c r="E112" s="16">
        <v>5</v>
      </c>
      <c r="F112" s="16" t="s">
        <v>352</v>
      </c>
      <c r="G112" s="16">
        <v>77</v>
      </c>
      <c r="H112" s="16">
        <v>997</v>
      </c>
      <c r="I112" s="16">
        <v>5</v>
      </c>
      <c r="J112" s="16" t="s">
        <v>352</v>
      </c>
      <c r="K112" s="16" t="s">
        <v>352</v>
      </c>
      <c r="L112" s="16" t="s">
        <v>352</v>
      </c>
      <c r="M112" s="16">
        <v>1</v>
      </c>
      <c r="N112" s="17">
        <v>205.2</v>
      </c>
    </row>
    <row r="113" spans="1:14" ht="15" thickBot="1" x14ac:dyDescent="0.4">
      <c r="A113" s="15" t="s">
        <v>428</v>
      </c>
      <c r="B113" s="16" t="s">
        <v>352</v>
      </c>
      <c r="C113" s="16" t="s">
        <v>352</v>
      </c>
      <c r="D113" s="16" t="s">
        <v>352</v>
      </c>
      <c r="E113" s="16">
        <v>120</v>
      </c>
      <c r="F113" s="16">
        <v>1</v>
      </c>
      <c r="G113" s="16">
        <v>67</v>
      </c>
      <c r="H113" s="16">
        <v>856</v>
      </c>
      <c r="I113" s="16">
        <v>5</v>
      </c>
      <c r="J113" s="16" t="s">
        <v>352</v>
      </c>
      <c r="K113" s="16" t="s">
        <v>352</v>
      </c>
      <c r="L113" s="16" t="s">
        <v>352</v>
      </c>
      <c r="M113" s="16">
        <v>1</v>
      </c>
      <c r="N113" s="17">
        <v>198.6</v>
      </c>
    </row>
    <row r="114" spans="1:14" ht="15" thickBot="1" x14ac:dyDescent="0.4">
      <c r="A114" s="15" t="s">
        <v>429</v>
      </c>
      <c r="B114" s="16" t="s">
        <v>352</v>
      </c>
      <c r="C114" s="16" t="s">
        <v>352</v>
      </c>
      <c r="D114" s="16" t="s">
        <v>352</v>
      </c>
      <c r="E114" s="16">
        <v>33</v>
      </c>
      <c r="F114" s="16" t="s">
        <v>352</v>
      </c>
      <c r="G114" s="16">
        <v>67</v>
      </c>
      <c r="H114" s="16">
        <v>910</v>
      </c>
      <c r="I114" s="16">
        <v>6</v>
      </c>
      <c r="J114" s="16" t="s">
        <v>352</v>
      </c>
      <c r="K114" s="16" t="s">
        <v>352</v>
      </c>
      <c r="L114" s="16" t="s">
        <v>352</v>
      </c>
      <c r="M114" s="16" t="s">
        <v>352</v>
      </c>
      <c r="N114" s="17">
        <v>197.3</v>
      </c>
    </row>
    <row r="115" spans="1:14" ht="15" thickBot="1" x14ac:dyDescent="0.4">
      <c r="A115" s="15" t="s">
        <v>430</v>
      </c>
      <c r="B115" s="16" t="s">
        <v>352</v>
      </c>
      <c r="C115" s="16" t="s">
        <v>352</v>
      </c>
      <c r="D115" s="16" t="s">
        <v>352</v>
      </c>
      <c r="E115" s="16">
        <v>11</v>
      </c>
      <c r="F115" s="16" t="s">
        <v>352</v>
      </c>
      <c r="G115" s="16">
        <v>73</v>
      </c>
      <c r="H115" s="16">
        <v>831</v>
      </c>
      <c r="I115" s="16">
        <v>7</v>
      </c>
      <c r="J115" s="16" t="s">
        <v>352</v>
      </c>
      <c r="K115" s="16" t="s">
        <v>352</v>
      </c>
      <c r="L115" s="16" t="s">
        <v>352</v>
      </c>
      <c r="M115" s="16">
        <v>1</v>
      </c>
      <c r="N115" s="17">
        <v>197.2</v>
      </c>
    </row>
    <row r="116" spans="1:14" ht="15" thickBot="1" x14ac:dyDescent="0.4">
      <c r="A116" s="15" t="s">
        <v>431</v>
      </c>
      <c r="B116" s="16" t="s">
        <v>352</v>
      </c>
      <c r="C116" s="16" t="s">
        <v>352</v>
      </c>
      <c r="D116" s="16" t="s">
        <v>352</v>
      </c>
      <c r="E116" s="16">
        <v>28</v>
      </c>
      <c r="F116" s="16" t="s">
        <v>352</v>
      </c>
      <c r="G116" s="16">
        <v>67</v>
      </c>
      <c r="H116" s="16">
        <v>899</v>
      </c>
      <c r="I116" s="16">
        <v>6</v>
      </c>
      <c r="J116" s="16" t="s">
        <v>352</v>
      </c>
      <c r="K116" s="16" t="s">
        <v>352</v>
      </c>
      <c r="L116" s="16" t="s">
        <v>352</v>
      </c>
      <c r="M116" s="16" t="s">
        <v>352</v>
      </c>
      <c r="N116" s="17">
        <v>195.7</v>
      </c>
    </row>
    <row r="117" spans="1:14" ht="15" thickBot="1" x14ac:dyDescent="0.4">
      <c r="A117" s="15" t="s">
        <v>432</v>
      </c>
      <c r="B117" s="16" t="s">
        <v>352</v>
      </c>
      <c r="C117" s="16" t="s">
        <v>352</v>
      </c>
      <c r="D117" s="16" t="s">
        <v>352</v>
      </c>
      <c r="E117" s="16">
        <v>43</v>
      </c>
      <c r="F117" s="16" t="s">
        <v>352</v>
      </c>
      <c r="G117" s="16">
        <v>70</v>
      </c>
      <c r="H117" s="16">
        <v>919</v>
      </c>
      <c r="I117" s="16">
        <v>5</v>
      </c>
      <c r="J117" s="16" t="s">
        <v>352</v>
      </c>
      <c r="K117" s="16" t="s">
        <v>352</v>
      </c>
      <c r="L117" s="16" t="s">
        <v>352</v>
      </c>
      <c r="M117" s="16">
        <v>1</v>
      </c>
      <c r="N117" s="17">
        <v>194.2</v>
      </c>
    </row>
    <row r="118" spans="1:14" ht="15" thickBot="1" x14ac:dyDescent="0.4">
      <c r="A118" s="15" t="s">
        <v>433</v>
      </c>
      <c r="B118" s="16" t="s">
        <v>352</v>
      </c>
      <c r="C118" s="16" t="s">
        <v>352</v>
      </c>
      <c r="D118" s="16" t="s">
        <v>352</v>
      </c>
      <c r="E118" s="16">
        <v>17</v>
      </c>
      <c r="F118" s="16" t="s">
        <v>352</v>
      </c>
      <c r="G118" s="16">
        <v>70</v>
      </c>
      <c r="H118" s="16">
        <v>875</v>
      </c>
      <c r="I118" s="16">
        <v>6</v>
      </c>
      <c r="J118" s="16" t="s">
        <v>352</v>
      </c>
      <c r="K118" s="16" t="s">
        <v>352</v>
      </c>
      <c r="L118" s="16" t="s">
        <v>352</v>
      </c>
      <c r="M118" s="16">
        <v>1</v>
      </c>
      <c r="N118" s="17">
        <v>193.2</v>
      </c>
    </row>
    <row r="119" spans="1:14" ht="15" thickBot="1" x14ac:dyDescent="0.4">
      <c r="A119" s="18" t="s">
        <v>527</v>
      </c>
      <c r="B119" s="16" t="s">
        <v>352</v>
      </c>
      <c r="C119" s="16" t="s">
        <v>352</v>
      </c>
      <c r="D119" s="16" t="s">
        <v>352</v>
      </c>
      <c r="E119" s="16">
        <v>10</v>
      </c>
      <c r="F119" s="16" t="s">
        <v>352</v>
      </c>
      <c r="G119" s="16">
        <v>67</v>
      </c>
      <c r="H119" s="16">
        <v>901</v>
      </c>
      <c r="I119" s="16">
        <v>6</v>
      </c>
      <c r="J119" s="16" t="s">
        <v>352</v>
      </c>
      <c r="K119" s="16" t="s">
        <v>352</v>
      </c>
      <c r="L119" s="16" t="s">
        <v>352</v>
      </c>
      <c r="M119" s="16">
        <v>1</v>
      </c>
      <c r="N119" s="17">
        <v>192.1</v>
      </c>
    </row>
    <row r="120" spans="1:14" ht="15" thickBot="1" x14ac:dyDescent="0.4">
      <c r="A120" s="15" t="s">
        <v>434</v>
      </c>
      <c r="B120" s="16" t="s">
        <v>352</v>
      </c>
      <c r="C120" s="16" t="s">
        <v>352</v>
      </c>
      <c r="D120" s="16" t="s">
        <v>352</v>
      </c>
      <c r="E120" s="16">
        <v>58</v>
      </c>
      <c r="F120" s="16" t="s">
        <v>352</v>
      </c>
      <c r="G120" s="16">
        <v>65</v>
      </c>
      <c r="H120" s="16">
        <v>861</v>
      </c>
      <c r="I120" s="16">
        <v>6</v>
      </c>
      <c r="J120" s="16" t="s">
        <v>352</v>
      </c>
      <c r="K120" s="16" t="s">
        <v>352</v>
      </c>
      <c r="L120" s="16" t="s">
        <v>352</v>
      </c>
      <c r="M120" s="16">
        <v>1</v>
      </c>
      <c r="N120" s="17">
        <v>190.9</v>
      </c>
    </row>
    <row r="121" spans="1:14" ht="15" thickBot="1" x14ac:dyDescent="0.4">
      <c r="A121" s="15" t="s">
        <v>435</v>
      </c>
      <c r="B121" s="16" t="s">
        <v>352</v>
      </c>
      <c r="C121" s="16" t="s">
        <v>352</v>
      </c>
      <c r="D121" s="16" t="s">
        <v>352</v>
      </c>
      <c r="E121" s="16">
        <v>11</v>
      </c>
      <c r="F121" s="16" t="s">
        <v>352</v>
      </c>
      <c r="G121" s="16">
        <v>70</v>
      </c>
      <c r="H121" s="16">
        <v>785</v>
      </c>
      <c r="I121" s="16">
        <v>6</v>
      </c>
      <c r="J121" s="16" t="s">
        <v>352</v>
      </c>
      <c r="K121" s="16" t="s">
        <v>352</v>
      </c>
      <c r="L121" s="16" t="s">
        <v>352</v>
      </c>
      <c r="M121" s="16">
        <v>1</v>
      </c>
      <c r="N121" s="17">
        <v>183.6</v>
      </c>
    </row>
    <row r="122" spans="1:14" ht="15" thickBot="1" x14ac:dyDescent="0.4">
      <c r="A122" s="15" t="s">
        <v>436</v>
      </c>
      <c r="B122" s="16">
        <v>14</v>
      </c>
      <c r="C122" s="16" t="s">
        <v>352</v>
      </c>
      <c r="D122" s="16" t="s">
        <v>352</v>
      </c>
      <c r="E122" s="16">
        <v>11</v>
      </c>
      <c r="F122" s="16" t="s">
        <v>352</v>
      </c>
      <c r="G122" s="16">
        <v>73</v>
      </c>
      <c r="H122" s="16">
        <v>840</v>
      </c>
      <c r="I122" s="16">
        <v>4</v>
      </c>
      <c r="J122" s="16" t="s">
        <v>352</v>
      </c>
      <c r="K122" s="16" t="s">
        <v>352</v>
      </c>
      <c r="L122" s="16" t="s">
        <v>352</v>
      </c>
      <c r="M122" s="16">
        <v>1</v>
      </c>
      <c r="N122" s="17">
        <v>180.66</v>
      </c>
    </row>
    <row r="123" spans="1:14" ht="15" thickBot="1" x14ac:dyDescent="0.4">
      <c r="A123" s="15" t="s">
        <v>437</v>
      </c>
      <c r="B123" s="16" t="s">
        <v>352</v>
      </c>
      <c r="C123" s="16" t="s">
        <v>352</v>
      </c>
      <c r="D123" s="16" t="s">
        <v>352</v>
      </c>
      <c r="E123" s="16">
        <v>6</v>
      </c>
      <c r="F123" s="16" t="s">
        <v>352</v>
      </c>
      <c r="G123" s="16">
        <v>61</v>
      </c>
      <c r="H123" s="16">
        <v>831</v>
      </c>
      <c r="I123" s="16">
        <v>6</v>
      </c>
      <c r="J123" s="16" t="s">
        <v>352</v>
      </c>
      <c r="K123" s="16" t="s">
        <v>352</v>
      </c>
      <c r="L123" s="16" t="s">
        <v>352</v>
      </c>
      <c r="M123" s="16">
        <v>1</v>
      </c>
      <c r="N123" s="17">
        <v>178.7</v>
      </c>
    </row>
    <row r="124" spans="1:14" ht="15" thickBot="1" x14ac:dyDescent="0.4">
      <c r="A124" s="15" t="s">
        <v>438</v>
      </c>
      <c r="B124" s="16" t="s">
        <v>352</v>
      </c>
      <c r="C124" s="16" t="s">
        <v>352</v>
      </c>
      <c r="D124" s="16" t="s">
        <v>352</v>
      </c>
      <c r="E124" s="16">
        <v>42</v>
      </c>
      <c r="F124" s="16" t="s">
        <v>352</v>
      </c>
      <c r="G124" s="16">
        <v>55</v>
      </c>
      <c r="H124" s="16">
        <v>802</v>
      </c>
      <c r="I124" s="16">
        <v>5</v>
      </c>
      <c r="J124" s="16">
        <v>1</v>
      </c>
      <c r="K124" s="16" t="s">
        <v>352</v>
      </c>
      <c r="L124" s="16" t="s">
        <v>352</v>
      </c>
      <c r="M124" s="16">
        <v>1</v>
      </c>
      <c r="N124" s="17">
        <v>173.4</v>
      </c>
    </row>
    <row r="125" spans="1:14" ht="15" thickBot="1" x14ac:dyDescent="0.4">
      <c r="A125" s="15" t="s">
        <v>439</v>
      </c>
      <c r="B125" s="16" t="s">
        <v>352</v>
      </c>
      <c r="C125" s="16" t="s">
        <v>352</v>
      </c>
      <c r="D125" s="16" t="s">
        <v>352</v>
      </c>
      <c r="E125" s="16">
        <v>11</v>
      </c>
      <c r="F125" s="16" t="s">
        <v>352</v>
      </c>
      <c r="G125" s="16">
        <v>72</v>
      </c>
      <c r="H125" s="16">
        <v>775</v>
      </c>
      <c r="I125" s="16">
        <v>4</v>
      </c>
      <c r="J125" s="16" t="s">
        <v>352</v>
      </c>
      <c r="K125" s="16" t="s">
        <v>352</v>
      </c>
      <c r="L125" s="16" t="s">
        <v>352</v>
      </c>
      <c r="M125" s="16">
        <v>1</v>
      </c>
      <c r="N125" s="17">
        <v>172.6</v>
      </c>
    </row>
    <row r="126" spans="1:14" ht="15" thickBot="1" x14ac:dyDescent="0.4">
      <c r="A126" s="15" t="s">
        <v>440</v>
      </c>
      <c r="B126" s="16" t="s">
        <v>352</v>
      </c>
      <c r="C126" s="16" t="s">
        <v>352</v>
      </c>
      <c r="D126" s="16" t="s">
        <v>352</v>
      </c>
      <c r="E126" s="16">
        <v>5</v>
      </c>
      <c r="F126" s="16" t="s">
        <v>352</v>
      </c>
      <c r="G126" s="16">
        <v>68</v>
      </c>
      <c r="H126" s="16">
        <v>785</v>
      </c>
      <c r="I126" s="16">
        <v>4</v>
      </c>
      <c r="J126" s="16" t="s">
        <v>352</v>
      </c>
      <c r="K126" s="16" t="s">
        <v>352</v>
      </c>
      <c r="L126" s="16" t="s">
        <v>352</v>
      </c>
      <c r="M126" s="16">
        <v>1</v>
      </c>
      <c r="N126" s="17">
        <v>169</v>
      </c>
    </row>
    <row r="127" spans="1:14" ht="15" thickBot="1" x14ac:dyDescent="0.4">
      <c r="A127" s="15" t="s">
        <v>441</v>
      </c>
      <c r="B127" s="16" t="s">
        <v>352</v>
      </c>
      <c r="C127" s="16" t="s">
        <v>352</v>
      </c>
      <c r="D127" s="16" t="s">
        <v>352</v>
      </c>
      <c r="E127" s="16">
        <v>16</v>
      </c>
      <c r="F127" s="16" t="s">
        <v>352</v>
      </c>
      <c r="G127" s="16">
        <v>67</v>
      </c>
      <c r="H127" s="16">
        <v>719</v>
      </c>
      <c r="I127" s="16">
        <v>5</v>
      </c>
      <c r="J127" s="16" t="s">
        <v>352</v>
      </c>
      <c r="K127" s="16" t="s">
        <v>352</v>
      </c>
      <c r="L127" s="16" t="s">
        <v>352</v>
      </c>
      <c r="M127" s="16">
        <v>1</v>
      </c>
      <c r="N127" s="17">
        <v>168.5</v>
      </c>
    </row>
    <row r="128" spans="1:14" ht="15" thickBot="1" x14ac:dyDescent="0.4">
      <c r="A128" s="15" t="s">
        <v>442</v>
      </c>
      <c r="B128" s="16" t="s">
        <v>352</v>
      </c>
      <c r="C128" s="16" t="s">
        <v>352</v>
      </c>
      <c r="D128" s="16" t="s">
        <v>352</v>
      </c>
      <c r="E128" s="16">
        <v>9</v>
      </c>
      <c r="F128" s="16" t="s">
        <v>352</v>
      </c>
      <c r="G128" s="16">
        <v>63</v>
      </c>
      <c r="H128" s="16">
        <v>734</v>
      </c>
      <c r="I128" s="16">
        <v>5</v>
      </c>
      <c r="J128" s="16" t="s">
        <v>352</v>
      </c>
      <c r="K128" s="16" t="s">
        <v>352</v>
      </c>
      <c r="L128" s="16" t="s">
        <v>352</v>
      </c>
      <c r="M128" s="16">
        <v>1</v>
      </c>
      <c r="N128" s="17">
        <v>165.3</v>
      </c>
    </row>
    <row r="129" spans="1:14" ht="15" thickBot="1" x14ac:dyDescent="0.4">
      <c r="A129" s="15" t="s">
        <v>443</v>
      </c>
      <c r="B129" s="16" t="s">
        <v>352</v>
      </c>
      <c r="C129" s="16" t="s">
        <v>352</v>
      </c>
      <c r="D129" s="16" t="s">
        <v>352</v>
      </c>
      <c r="E129" s="16">
        <v>17</v>
      </c>
      <c r="F129" s="16" t="s">
        <v>352</v>
      </c>
      <c r="G129" s="16">
        <v>65</v>
      </c>
      <c r="H129" s="16">
        <v>759</v>
      </c>
      <c r="I129" s="16">
        <v>4</v>
      </c>
      <c r="J129" s="16" t="s">
        <v>352</v>
      </c>
      <c r="K129" s="16" t="s">
        <v>352</v>
      </c>
      <c r="L129" s="16" t="s">
        <v>352</v>
      </c>
      <c r="M129" s="16">
        <v>1</v>
      </c>
      <c r="N129" s="17">
        <v>164.6</v>
      </c>
    </row>
    <row r="130" spans="1:14" ht="15" thickBot="1" x14ac:dyDescent="0.4">
      <c r="A130" s="15" t="s">
        <v>444</v>
      </c>
      <c r="B130" s="16" t="s">
        <v>352</v>
      </c>
      <c r="C130" s="16" t="s">
        <v>352</v>
      </c>
      <c r="D130" s="16" t="s">
        <v>352</v>
      </c>
      <c r="E130" s="16">
        <v>48</v>
      </c>
      <c r="F130" s="16" t="s">
        <v>352</v>
      </c>
      <c r="G130" s="16">
        <v>55</v>
      </c>
      <c r="H130" s="16">
        <v>682</v>
      </c>
      <c r="I130" s="16">
        <v>5</v>
      </c>
      <c r="J130" s="16">
        <v>1</v>
      </c>
      <c r="K130" s="16" t="s">
        <v>352</v>
      </c>
      <c r="L130" s="16" t="s">
        <v>352</v>
      </c>
      <c r="M130" s="16">
        <v>1</v>
      </c>
      <c r="N130" s="17">
        <v>162</v>
      </c>
    </row>
    <row r="131" spans="1:14" ht="15" thickBot="1" x14ac:dyDescent="0.4">
      <c r="A131" s="15" t="s">
        <v>445</v>
      </c>
      <c r="B131" s="16" t="s">
        <v>352</v>
      </c>
      <c r="C131" s="16" t="s">
        <v>352</v>
      </c>
      <c r="D131" s="16" t="s">
        <v>352</v>
      </c>
      <c r="E131" s="16">
        <v>5</v>
      </c>
      <c r="F131" s="16" t="s">
        <v>352</v>
      </c>
      <c r="G131" s="16">
        <v>59</v>
      </c>
      <c r="H131" s="16">
        <v>744</v>
      </c>
      <c r="I131" s="16">
        <v>5</v>
      </c>
      <c r="J131" s="16" t="s">
        <v>352</v>
      </c>
      <c r="K131" s="16" t="s">
        <v>352</v>
      </c>
      <c r="L131" s="16" t="s">
        <v>352</v>
      </c>
      <c r="M131" s="16">
        <v>1</v>
      </c>
      <c r="N131" s="17">
        <v>161.9</v>
      </c>
    </row>
    <row r="132" spans="1:14" ht="15" thickBot="1" x14ac:dyDescent="0.4">
      <c r="A132" s="7"/>
      <c r="B132" s="19" t="s">
        <v>314</v>
      </c>
      <c r="C132" s="20"/>
      <c r="D132" s="21"/>
      <c r="E132" s="19" t="s">
        <v>315</v>
      </c>
      <c r="F132" s="21"/>
      <c r="G132" s="19" t="s">
        <v>316</v>
      </c>
      <c r="H132" s="20"/>
      <c r="I132" s="21"/>
      <c r="J132" s="10" t="s">
        <v>317</v>
      </c>
      <c r="K132" s="19" t="s">
        <v>318</v>
      </c>
      <c r="L132" s="21"/>
      <c r="M132" s="10" t="s">
        <v>319</v>
      </c>
      <c r="N132" s="11" t="s">
        <v>320</v>
      </c>
    </row>
    <row r="133" spans="1:14" x14ac:dyDescent="0.35">
      <c r="A133" s="12" t="s">
        <v>312</v>
      </c>
      <c r="B133" s="13" t="s">
        <v>346</v>
      </c>
      <c r="C133" s="13" t="s">
        <v>28</v>
      </c>
      <c r="D133" s="13" t="s">
        <v>347</v>
      </c>
      <c r="E133" s="13" t="s">
        <v>346</v>
      </c>
      <c r="F133" s="13" t="s">
        <v>28</v>
      </c>
      <c r="G133" s="13" t="s">
        <v>348</v>
      </c>
      <c r="H133" s="13" t="s">
        <v>346</v>
      </c>
      <c r="I133" s="13" t="s">
        <v>28</v>
      </c>
      <c r="J133" s="13" t="s">
        <v>28</v>
      </c>
      <c r="K133" s="13" t="s">
        <v>349</v>
      </c>
      <c r="L133" s="13" t="s">
        <v>350</v>
      </c>
      <c r="M133" s="13" t="s">
        <v>351</v>
      </c>
      <c r="N133" s="14" t="s">
        <v>321</v>
      </c>
    </row>
    <row r="134" spans="1:14" ht="15" thickBot="1" x14ac:dyDescent="0.4">
      <c r="A134" s="15" t="s">
        <v>446</v>
      </c>
      <c r="B134" s="16" t="s">
        <v>352</v>
      </c>
      <c r="C134" s="16" t="s">
        <v>352</v>
      </c>
      <c r="D134" s="16" t="s">
        <v>352</v>
      </c>
      <c r="E134" s="16">
        <v>16</v>
      </c>
      <c r="F134" s="16" t="s">
        <v>352</v>
      </c>
      <c r="G134" s="16">
        <v>101</v>
      </c>
      <c r="H134" s="16">
        <v>1042</v>
      </c>
      <c r="I134" s="16">
        <v>7</v>
      </c>
      <c r="J134" s="16" t="s">
        <v>352</v>
      </c>
      <c r="K134" s="16" t="s">
        <v>352</v>
      </c>
      <c r="L134" s="16" t="s">
        <v>352</v>
      </c>
      <c r="M134" s="16">
        <v>1</v>
      </c>
      <c r="N134" s="17">
        <v>246.8</v>
      </c>
    </row>
    <row r="135" spans="1:14" ht="15" thickBot="1" x14ac:dyDescent="0.4">
      <c r="A135" s="15" t="s">
        <v>447</v>
      </c>
      <c r="B135" s="16" t="s">
        <v>352</v>
      </c>
      <c r="C135" s="16" t="s">
        <v>352</v>
      </c>
      <c r="D135" s="16" t="s">
        <v>352</v>
      </c>
      <c r="E135" s="16">
        <v>3</v>
      </c>
      <c r="F135" s="16" t="s">
        <v>352</v>
      </c>
      <c r="G135" s="16">
        <v>102</v>
      </c>
      <c r="H135" s="16">
        <v>1031</v>
      </c>
      <c r="I135" s="16">
        <v>7</v>
      </c>
      <c r="J135" s="16" t="s">
        <v>352</v>
      </c>
      <c r="K135" s="16" t="s">
        <v>352</v>
      </c>
      <c r="L135" s="16" t="s">
        <v>352</v>
      </c>
      <c r="M135" s="16">
        <v>1</v>
      </c>
      <c r="N135" s="17">
        <v>245.4</v>
      </c>
    </row>
    <row r="136" spans="1:14" ht="15" thickBot="1" x14ac:dyDescent="0.4">
      <c r="A136" s="15" t="s">
        <v>448</v>
      </c>
      <c r="B136" s="16" t="s">
        <v>352</v>
      </c>
      <c r="C136" s="16" t="s">
        <v>352</v>
      </c>
      <c r="D136" s="16" t="s">
        <v>352</v>
      </c>
      <c r="E136" s="16" t="s">
        <v>352</v>
      </c>
      <c r="F136" s="16" t="s">
        <v>352</v>
      </c>
      <c r="G136" s="16">
        <v>70</v>
      </c>
      <c r="H136" s="16">
        <v>970</v>
      </c>
      <c r="I136" s="16">
        <v>7</v>
      </c>
      <c r="J136" s="16" t="s">
        <v>352</v>
      </c>
      <c r="K136" s="16" t="s">
        <v>352</v>
      </c>
      <c r="L136" s="16" t="s">
        <v>352</v>
      </c>
      <c r="M136" s="16">
        <v>1</v>
      </c>
      <c r="N136" s="17">
        <v>207</v>
      </c>
    </row>
    <row r="137" spans="1:14" ht="15" thickBot="1" x14ac:dyDescent="0.4">
      <c r="A137" s="15" t="s">
        <v>449</v>
      </c>
      <c r="B137" s="16" t="s">
        <v>352</v>
      </c>
      <c r="C137" s="16" t="s">
        <v>352</v>
      </c>
      <c r="D137" s="16" t="s">
        <v>352</v>
      </c>
      <c r="E137" s="16" t="s">
        <v>352</v>
      </c>
      <c r="F137" s="16" t="s">
        <v>352</v>
      </c>
      <c r="G137" s="16">
        <v>71</v>
      </c>
      <c r="H137" s="16">
        <v>774</v>
      </c>
      <c r="I137" s="16">
        <v>6</v>
      </c>
      <c r="J137" s="16" t="s">
        <v>352</v>
      </c>
      <c r="K137" s="16" t="s">
        <v>352</v>
      </c>
      <c r="L137" s="16" t="s">
        <v>352</v>
      </c>
      <c r="M137" s="16">
        <v>1</v>
      </c>
      <c r="N137" s="17">
        <v>182.4</v>
      </c>
    </row>
    <row r="138" spans="1:14" ht="15" thickBot="1" x14ac:dyDescent="0.4">
      <c r="A138" s="15" t="s">
        <v>450</v>
      </c>
      <c r="B138" s="16" t="s">
        <v>352</v>
      </c>
      <c r="C138" s="16" t="s">
        <v>352</v>
      </c>
      <c r="D138" s="16" t="s">
        <v>352</v>
      </c>
      <c r="E138" s="16" t="s">
        <v>352</v>
      </c>
      <c r="F138" s="16" t="s">
        <v>352</v>
      </c>
      <c r="G138" s="16">
        <v>74</v>
      </c>
      <c r="H138" s="16">
        <v>760</v>
      </c>
      <c r="I138" s="16">
        <v>5</v>
      </c>
      <c r="J138" s="16" t="s">
        <v>352</v>
      </c>
      <c r="K138" s="16" t="s">
        <v>352</v>
      </c>
      <c r="L138" s="16" t="s">
        <v>352</v>
      </c>
      <c r="M138" s="16">
        <v>1</v>
      </c>
      <c r="N138" s="17">
        <v>178</v>
      </c>
    </row>
    <row r="139" spans="1:14" ht="15" thickBot="1" x14ac:dyDescent="0.4">
      <c r="A139" s="15" t="s">
        <v>451</v>
      </c>
      <c r="B139" s="16" t="s">
        <v>352</v>
      </c>
      <c r="C139" s="16" t="s">
        <v>352</v>
      </c>
      <c r="D139" s="16" t="s">
        <v>352</v>
      </c>
      <c r="E139" s="16">
        <v>1</v>
      </c>
      <c r="F139" s="16" t="s">
        <v>352</v>
      </c>
      <c r="G139" s="16">
        <v>74</v>
      </c>
      <c r="H139" s="16">
        <v>728</v>
      </c>
      <c r="I139" s="16">
        <v>5</v>
      </c>
      <c r="J139" s="16" t="s">
        <v>352</v>
      </c>
      <c r="K139" s="16" t="s">
        <v>352</v>
      </c>
      <c r="L139" s="16" t="s">
        <v>352</v>
      </c>
      <c r="M139" s="16">
        <v>1</v>
      </c>
      <c r="N139" s="17">
        <v>174.9</v>
      </c>
    </row>
    <row r="140" spans="1:14" ht="15" thickBot="1" x14ac:dyDescent="0.4">
      <c r="A140" s="15" t="s">
        <v>452</v>
      </c>
      <c r="B140" s="16" t="s">
        <v>352</v>
      </c>
      <c r="C140" s="16" t="s">
        <v>352</v>
      </c>
      <c r="D140" s="16" t="s">
        <v>352</v>
      </c>
      <c r="E140" s="16" t="s">
        <v>352</v>
      </c>
      <c r="F140" s="16" t="s">
        <v>352</v>
      </c>
      <c r="G140" s="16">
        <v>72</v>
      </c>
      <c r="H140" s="16">
        <v>691</v>
      </c>
      <c r="I140" s="16">
        <v>5</v>
      </c>
      <c r="J140" s="16" t="s">
        <v>352</v>
      </c>
      <c r="K140" s="16" t="s">
        <v>352</v>
      </c>
      <c r="L140" s="16" t="s">
        <v>352</v>
      </c>
      <c r="M140" s="16">
        <v>1</v>
      </c>
      <c r="N140" s="17">
        <v>169.1</v>
      </c>
    </row>
    <row r="141" spans="1:14" ht="15" thickBot="1" x14ac:dyDescent="0.4">
      <c r="A141" s="15" t="s">
        <v>453</v>
      </c>
      <c r="B141" s="16" t="s">
        <v>352</v>
      </c>
      <c r="C141" s="16" t="s">
        <v>352</v>
      </c>
      <c r="D141" s="16" t="s">
        <v>352</v>
      </c>
      <c r="E141" s="16">
        <v>4</v>
      </c>
      <c r="F141" s="16" t="s">
        <v>352</v>
      </c>
      <c r="G141" s="16">
        <v>55</v>
      </c>
      <c r="H141" s="16">
        <v>681</v>
      </c>
      <c r="I141" s="16">
        <v>7</v>
      </c>
      <c r="J141" s="16" t="s">
        <v>352</v>
      </c>
      <c r="K141" s="16" t="s">
        <v>352</v>
      </c>
      <c r="L141" s="16" t="s">
        <v>352</v>
      </c>
      <c r="M141" s="16">
        <v>1</v>
      </c>
      <c r="N141" s="17">
        <v>163.5</v>
      </c>
    </row>
    <row r="142" spans="1:14" ht="15" thickBot="1" x14ac:dyDescent="0.4">
      <c r="A142" s="18" t="s">
        <v>528</v>
      </c>
      <c r="B142" s="16" t="s">
        <v>352</v>
      </c>
      <c r="C142" s="16" t="s">
        <v>352</v>
      </c>
      <c r="D142" s="16" t="s">
        <v>352</v>
      </c>
      <c r="E142" s="16" t="s">
        <v>352</v>
      </c>
      <c r="F142" s="16" t="s">
        <v>352</v>
      </c>
      <c r="G142" s="16">
        <v>69</v>
      </c>
      <c r="H142" s="16">
        <v>685</v>
      </c>
      <c r="I142" s="16">
        <v>4</v>
      </c>
      <c r="J142" s="16" t="s">
        <v>352</v>
      </c>
      <c r="K142" s="16" t="s">
        <v>352</v>
      </c>
      <c r="L142" s="16" t="s">
        <v>352</v>
      </c>
      <c r="M142" s="16">
        <v>1</v>
      </c>
      <c r="N142" s="17">
        <v>159.5</v>
      </c>
    </row>
    <row r="143" spans="1:14" ht="15" thickBot="1" x14ac:dyDescent="0.4">
      <c r="A143" s="15" t="s">
        <v>454</v>
      </c>
      <c r="B143" s="16" t="s">
        <v>352</v>
      </c>
      <c r="C143" s="16" t="s">
        <v>352</v>
      </c>
      <c r="D143" s="16" t="s">
        <v>352</v>
      </c>
      <c r="E143" s="16" t="s">
        <v>352</v>
      </c>
      <c r="F143" s="16" t="s">
        <v>352</v>
      </c>
      <c r="G143" s="16">
        <v>62</v>
      </c>
      <c r="H143" s="16">
        <v>645</v>
      </c>
      <c r="I143" s="16">
        <v>5</v>
      </c>
      <c r="J143" s="16" t="s">
        <v>352</v>
      </c>
      <c r="K143" s="16" t="s">
        <v>352</v>
      </c>
      <c r="L143" s="16" t="s">
        <v>352</v>
      </c>
      <c r="M143" s="16">
        <v>1</v>
      </c>
      <c r="N143" s="17">
        <v>154.5</v>
      </c>
    </row>
    <row r="144" spans="1:14" ht="15" thickBot="1" x14ac:dyDescent="0.4">
      <c r="A144" s="15" t="s">
        <v>455</v>
      </c>
      <c r="B144" s="16" t="s">
        <v>352</v>
      </c>
      <c r="C144" s="16" t="s">
        <v>352</v>
      </c>
      <c r="D144" s="16" t="s">
        <v>352</v>
      </c>
      <c r="E144" s="16">
        <v>21</v>
      </c>
      <c r="F144" s="16" t="s">
        <v>352</v>
      </c>
      <c r="G144" s="16">
        <v>60</v>
      </c>
      <c r="H144" s="16">
        <v>615</v>
      </c>
      <c r="I144" s="16">
        <v>5</v>
      </c>
      <c r="J144" s="16" t="s">
        <v>352</v>
      </c>
      <c r="K144" s="16" t="s">
        <v>352</v>
      </c>
      <c r="L144" s="16" t="s">
        <v>352</v>
      </c>
      <c r="M144" s="16">
        <v>1</v>
      </c>
      <c r="N144" s="17">
        <v>151.6</v>
      </c>
    </row>
    <row r="145" spans="1:14" ht="15" thickBot="1" x14ac:dyDescent="0.4">
      <c r="A145" s="15" t="s">
        <v>456</v>
      </c>
      <c r="B145" s="16" t="s">
        <v>352</v>
      </c>
      <c r="C145" s="16" t="s">
        <v>352</v>
      </c>
      <c r="D145" s="16" t="s">
        <v>352</v>
      </c>
      <c r="E145" s="16">
        <v>4</v>
      </c>
      <c r="F145" s="16" t="s">
        <v>352</v>
      </c>
      <c r="G145" s="16">
        <v>61</v>
      </c>
      <c r="H145" s="16">
        <v>648</v>
      </c>
      <c r="I145" s="16">
        <v>4</v>
      </c>
      <c r="J145" s="16" t="s">
        <v>352</v>
      </c>
      <c r="K145" s="16" t="s">
        <v>352</v>
      </c>
      <c r="L145" s="16" t="s">
        <v>352</v>
      </c>
      <c r="M145" s="16">
        <v>1</v>
      </c>
      <c r="N145" s="17">
        <v>148.19999999999999</v>
      </c>
    </row>
    <row r="146" spans="1:14" ht="15" thickBot="1" x14ac:dyDescent="0.4">
      <c r="A146" s="15" t="s">
        <v>457</v>
      </c>
      <c r="B146" s="16" t="s">
        <v>352</v>
      </c>
      <c r="C146" s="16" t="s">
        <v>352</v>
      </c>
      <c r="D146" s="16" t="s">
        <v>352</v>
      </c>
      <c r="E146" s="16" t="s">
        <v>352</v>
      </c>
      <c r="F146" s="16" t="s">
        <v>352</v>
      </c>
      <c r="G146" s="16">
        <v>62</v>
      </c>
      <c r="H146" s="16">
        <v>628</v>
      </c>
      <c r="I146" s="16">
        <v>4</v>
      </c>
      <c r="J146" s="16" t="s">
        <v>352</v>
      </c>
      <c r="K146" s="16" t="s">
        <v>352</v>
      </c>
      <c r="L146" s="16" t="s">
        <v>352</v>
      </c>
      <c r="M146" s="16">
        <v>1</v>
      </c>
      <c r="N146" s="17">
        <v>146.80000000000001</v>
      </c>
    </row>
    <row r="147" spans="1:14" ht="15" thickBot="1" x14ac:dyDescent="0.4">
      <c r="A147" s="15" t="s">
        <v>458</v>
      </c>
      <c r="B147" s="16" t="s">
        <v>352</v>
      </c>
      <c r="C147" s="16" t="s">
        <v>352</v>
      </c>
      <c r="D147" s="16" t="s">
        <v>352</v>
      </c>
      <c r="E147" s="16" t="s">
        <v>352</v>
      </c>
      <c r="F147" s="16" t="s">
        <v>352</v>
      </c>
      <c r="G147" s="16">
        <v>62</v>
      </c>
      <c r="H147" s="16">
        <v>612</v>
      </c>
      <c r="I147" s="16">
        <v>4</v>
      </c>
      <c r="J147" s="16" t="s">
        <v>352</v>
      </c>
      <c r="K147" s="16" t="s">
        <v>352</v>
      </c>
      <c r="L147" s="16" t="s">
        <v>352</v>
      </c>
      <c r="M147" s="16">
        <v>1</v>
      </c>
      <c r="N147" s="17">
        <v>145.19999999999999</v>
      </c>
    </row>
    <row r="148" spans="1:14" ht="15" thickBot="1" x14ac:dyDescent="0.4">
      <c r="A148" s="15" t="s">
        <v>459</v>
      </c>
      <c r="B148" s="16" t="s">
        <v>352</v>
      </c>
      <c r="C148" s="16" t="s">
        <v>352</v>
      </c>
      <c r="D148" s="16" t="s">
        <v>352</v>
      </c>
      <c r="E148" s="16" t="s">
        <v>352</v>
      </c>
      <c r="F148" s="16" t="s">
        <v>352</v>
      </c>
      <c r="G148" s="16">
        <v>60</v>
      </c>
      <c r="H148" s="16">
        <v>610</v>
      </c>
      <c r="I148" s="16">
        <v>4</v>
      </c>
      <c r="J148" s="16" t="s">
        <v>352</v>
      </c>
      <c r="K148" s="16" t="s">
        <v>352</v>
      </c>
      <c r="L148" s="16" t="s">
        <v>352</v>
      </c>
      <c r="M148" s="16">
        <v>1</v>
      </c>
      <c r="N148" s="17">
        <v>143</v>
      </c>
    </row>
    <row r="149" spans="1:14" ht="15" thickBot="1" x14ac:dyDescent="0.4">
      <c r="A149" s="15" t="s">
        <v>460</v>
      </c>
      <c r="B149" s="16" t="s">
        <v>352</v>
      </c>
      <c r="C149" s="16" t="s">
        <v>352</v>
      </c>
      <c r="D149" s="16" t="s">
        <v>352</v>
      </c>
      <c r="E149" s="16">
        <v>6</v>
      </c>
      <c r="F149" s="16" t="s">
        <v>352</v>
      </c>
      <c r="G149" s="16">
        <v>59</v>
      </c>
      <c r="H149" s="16">
        <v>605</v>
      </c>
      <c r="I149" s="16">
        <v>4</v>
      </c>
      <c r="J149" s="16" t="s">
        <v>352</v>
      </c>
      <c r="K149" s="16" t="s">
        <v>352</v>
      </c>
      <c r="L149" s="16" t="s">
        <v>352</v>
      </c>
      <c r="M149" s="16">
        <v>1</v>
      </c>
      <c r="N149" s="17">
        <v>142.1</v>
      </c>
    </row>
    <row r="150" spans="1:14" ht="15" thickBot="1" x14ac:dyDescent="0.4">
      <c r="A150" s="15" t="s">
        <v>461</v>
      </c>
      <c r="B150" s="16" t="s">
        <v>352</v>
      </c>
      <c r="C150" s="16" t="s">
        <v>352</v>
      </c>
      <c r="D150" s="16" t="s">
        <v>352</v>
      </c>
      <c r="E150" s="16" t="s">
        <v>352</v>
      </c>
      <c r="F150" s="16" t="s">
        <v>352</v>
      </c>
      <c r="G150" s="16">
        <v>50</v>
      </c>
      <c r="H150" s="16">
        <v>628</v>
      </c>
      <c r="I150" s="16">
        <v>4</v>
      </c>
      <c r="J150" s="16" t="s">
        <v>352</v>
      </c>
      <c r="K150" s="16" t="s">
        <v>352</v>
      </c>
      <c r="L150" s="16" t="s">
        <v>352</v>
      </c>
      <c r="M150" s="16" t="s">
        <v>352</v>
      </c>
      <c r="N150" s="17">
        <v>136.80000000000001</v>
      </c>
    </row>
    <row r="151" spans="1:14" ht="15" thickBot="1" x14ac:dyDescent="0.4">
      <c r="A151" s="15" t="s">
        <v>462</v>
      </c>
      <c r="B151" s="16" t="s">
        <v>352</v>
      </c>
      <c r="C151" s="16" t="s">
        <v>352</v>
      </c>
      <c r="D151" s="16" t="s">
        <v>352</v>
      </c>
      <c r="E151" s="16" t="s">
        <v>352</v>
      </c>
      <c r="F151" s="16" t="s">
        <v>352</v>
      </c>
      <c r="G151" s="16">
        <v>53</v>
      </c>
      <c r="H151" s="16">
        <v>564</v>
      </c>
      <c r="I151" s="16">
        <v>4</v>
      </c>
      <c r="J151" s="16" t="s">
        <v>352</v>
      </c>
      <c r="K151" s="16" t="s">
        <v>352</v>
      </c>
      <c r="L151" s="16" t="s">
        <v>352</v>
      </c>
      <c r="M151" s="16">
        <v>1</v>
      </c>
      <c r="N151" s="17">
        <v>131.4</v>
      </c>
    </row>
    <row r="152" spans="1:14" ht="15" thickBot="1" x14ac:dyDescent="0.4">
      <c r="A152" s="15" t="s">
        <v>463</v>
      </c>
      <c r="B152" s="16" t="s">
        <v>352</v>
      </c>
      <c r="C152" s="16" t="s">
        <v>352</v>
      </c>
      <c r="D152" s="16" t="s">
        <v>352</v>
      </c>
      <c r="E152" s="16">
        <v>3</v>
      </c>
      <c r="F152" s="16" t="s">
        <v>352</v>
      </c>
      <c r="G152" s="16">
        <v>56</v>
      </c>
      <c r="H152" s="16">
        <v>570</v>
      </c>
      <c r="I152" s="16">
        <v>3</v>
      </c>
      <c r="J152" s="16" t="s">
        <v>352</v>
      </c>
      <c r="K152" s="16" t="s">
        <v>352</v>
      </c>
      <c r="L152" s="16" t="s">
        <v>352</v>
      </c>
      <c r="M152" s="16">
        <v>1</v>
      </c>
      <c r="N152" s="17">
        <v>129.30000000000001</v>
      </c>
    </row>
    <row r="153" spans="1:14" ht="15" thickBot="1" x14ac:dyDescent="0.4">
      <c r="A153" s="15" t="s">
        <v>464</v>
      </c>
      <c r="B153" s="16" t="s">
        <v>352</v>
      </c>
      <c r="C153" s="16" t="s">
        <v>352</v>
      </c>
      <c r="D153" s="16" t="s">
        <v>352</v>
      </c>
      <c r="E153" s="16" t="s">
        <v>352</v>
      </c>
      <c r="F153" s="16" t="s">
        <v>352</v>
      </c>
      <c r="G153" s="16">
        <v>50</v>
      </c>
      <c r="H153" s="16">
        <v>525</v>
      </c>
      <c r="I153" s="16">
        <v>4</v>
      </c>
      <c r="J153" s="16" t="s">
        <v>352</v>
      </c>
      <c r="K153" s="16" t="s">
        <v>352</v>
      </c>
      <c r="L153" s="16" t="s">
        <v>352</v>
      </c>
      <c r="M153" s="16" t="s">
        <v>352</v>
      </c>
      <c r="N153" s="17">
        <v>126.5</v>
      </c>
    </row>
    <row r="154" spans="1:14" ht="15" thickBot="1" x14ac:dyDescent="0.4">
      <c r="A154" s="15" t="s">
        <v>465</v>
      </c>
      <c r="B154" s="16" t="s">
        <v>352</v>
      </c>
      <c r="C154" s="16" t="s">
        <v>352</v>
      </c>
      <c r="D154" s="16" t="s">
        <v>352</v>
      </c>
      <c r="E154" s="16" t="s">
        <v>352</v>
      </c>
      <c r="F154" s="16" t="s">
        <v>352</v>
      </c>
      <c r="G154" s="16">
        <v>54</v>
      </c>
      <c r="H154" s="16">
        <v>545</v>
      </c>
      <c r="I154" s="16">
        <v>3</v>
      </c>
      <c r="J154" s="16" t="s">
        <v>352</v>
      </c>
      <c r="K154" s="16" t="s">
        <v>352</v>
      </c>
      <c r="L154" s="16" t="s">
        <v>352</v>
      </c>
      <c r="M154" s="16" t="s">
        <v>352</v>
      </c>
      <c r="N154" s="17">
        <v>126.5</v>
      </c>
    </row>
    <row r="155" spans="1:14" ht="15" thickBot="1" x14ac:dyDescent="0.4">
      <c r="A155" s="15" t="s">
        <v>466</v>
      </c>
      <c r="B155" s="16" t="s">
        <v>352</v>
      </c>
      <c r="C155" s="16" t="s">
        <v>352</v>
      </c>
      <c r="D155" s="16" t="s">
        <v>352</v>
      </c>
      <c r="E155" s="16" t="s">
        <v>352</v>
      </c>
      <c r="F155" s="16" t="s">
        <v>352</v>
      </c>
      <c r="G155" s="16">
        <v>51</v>
      </c>
      <c r="H155" s="16">
        <v>489</v>
      </c>
      <c r="I155" s="16">
        <v>4</v>
      </c>
      <c r="J155" s="16" t="s">
        <v>352</v>
      </c>
      <c r="K155" s="16" t="s">
        <v>352</v>
      </c>
      <c r="L155" s="16" t="s">
        <v>352</v>
      </c>
      <c r="M155" s="16" t="s">
        <v>352</v>
      </c>
      <c r="N155" s="17">
        <v>123.9</v>
      </c>
    </row>
    <row r="156" spans="1:14" ht="15" thickBot="1" x14ac:dyDescent="0.4">
      <c r="A156" s="15" t="s">
        <v>467</v>
      </c>
      <c r="B156" s="16" t="s">
        <v>352</v>
      </c>
      <c r="C156" s="16" t="s">
        <v>352</v>
      </c>
      <c r="D156" s="16" t="s">
        <v>352</v>
      </c>
      <c r="E156" s="16" t="s">
        <v>352</v>
      </c>
      <c r="F156" s="16" t="s">
        <v>352</v>
      </c>
      <c r="G156" s="16">
        <v>52</v>
      </c>
      <c r="H156" s="16">
        <v>510</v>
      </c>
      <c r="I156" s="16">
        <v>3</v>
      </c>
      <c r="J156" s="16" t="s">
        <v>352</v>
      </c>
      <c r="K156" s="16" t="s">
        <v>352</v>
      </c>
      <c r="L156" s="16" t="s">
        <v>352</v>
      </c>
      <c r="M156" s="16" t="s">
        <v>352</v>
      </c>
      <c r="N156" s="17">
        <v>121</v>
      </c>
    </row>
    <row r="157" spans="1:14" ht="15" thickBot="1" x14ac:dyDescent="0.4">
      <c r="A157" s="15" t="s">
        <v>468</v>
      </c>
      <c r="B157" s="16" t="s">
        <v>352</v>
      </c>
      <c r="C157" s="16" t="s">
        <v>352</v>
      </c>
      <c r="D157" s="16" t="s">
        <v>352</v>
      </c>
      <c r="E157" s="16" t="s">
        <v>352</v>
      </c>
      <c r="F157" s="16" t="s">
        <v>352</v>
      </c>
      <c r="G157" s="16">
        <v>51</v>
      </c>
      <c r="H157" s="16">
        <v>498</v>
      </c>
      <c r="I157" s="16">
        <v>3</v>
      </c>
      <c r="J157" s="16" t="s">
        <v>352</v>
      </c>
      <c r="K157" s="16" t="s">
        <v>352</v>
      </c>
      <c r="L157" s="16" t="s">
        <v>352</v>
      </c>
      <c r="M157" s="16" t="s">
        <v>352</v>
      </c>
      <c r="N157" s="17">
        <v>118.8</v>
      </c>
    </row>
    <row r="158" spans="1:14" ht="15" thickBot="1" x14ac:dyDescent="0.4">
      <c r="A158" s="15" t="s">
        <v>469</v>
      </c>
      <c r="B158" s="16" t="s">
        <v>352</v>
      </c>
      <c r="C158" s="16" t="s">
        <v>352</v>
      </c>
      <c r="D158" s="16" t="s">
        <v>352</v>
      </c>
      <c r="E158" s="16" t="s">
        <v>352</v>
      </c>
      <c r="F158" s="16" t="s">
        <v>352</v>
      </c>
      <c r="G158" s="16">
        <v>50</v>
      </c>
      <c r="H158" s="16">
        <v>505</v>
      </c>
      <c r="I158" s="16">
        <v>3</v>
      </c>
      <c r="J158" s="16" t="s">
        <v>352</v>
      </c>
      <c r="K158" s="16" t="s">
        <v>352</v>
      </c>
      <c r="L158" s="16" t="s">
        <v>352</v>
      </c>
      <c r="M158" s="16" t="s">
        <v>352</v>
      </c>
      <c r="N158" s="17">
        <v>118.5</v>
      </c>
    </row>
    <row r="159" spans="1:14" ht="15" thickBot="1" x14ac:dyDescent="0.4">
      <c r="A159" s="7"/>
      <c r="B159" s="10" t="s">
        <v>470</v>
      </c>
      <c r="C159" s="19" t="s">
        <v>471</v>
      </c>
      <c r="D159" s="20"/>
      <c r="E159" s="20"/>
      <c r="F159" s="20"/>
      <c r="G159" s="21"/>
      <c r="H159" s="11" t="s">
        <v>320</v>
      </c>
      <c r="I159" s="22"/>
      <c r="J159" s="22"/>
      <c r="K159" s="22"/>
      <c r="L159" s="22"/>
      <c r="M159" s="22"/>
      <c r="N159" s="22"/>
    </row>
    <row r="160" spans="1:14" x14ac:dyDescent="0.35">
      <c r="A160" s="12" t="s">
        <v>312</v>
      </c>
      <c r="B160" s="13" t="s">
        <v>472</v>
      </c>
      <c r="C160" s="13" t="s">
        <v>21</v>
      </c>
      <c r="D160" s="13" t="s">
        <v>22</v>
      </c>
      <c r="E160" s="13" t="s">
        <v>23</v>
      </c>
      <c r="F160" s="13" t="s">
        <v>24</v>
      </c>
      <c r="G160" s="13" t="s">
        <v>25</v>
      </c>
      <c r="H160" s="14" t="s">
        <v>321</v>
      </c>
      <c r="I160" s="22"/>
      <c r="J160" s="22"/>
      <c r="K160" s="22"/>
      <c r="L160" s="22"/>
      <c r="M160" s="22"/>
      <c r="N160" s="22"/>
    </row>
    <row r="161" spans="1:14" ht="15" thickBot="1" x14ac:dyDescent="0.4">
      <c r="A161" s="15" t="s">
        <v>473</v>
      </c>
      <c r="B161" s="16">
        <v>38</v>
      </c>
      <c r="C161" s="16" t="s">
        <v>352</v>
      </c>
      <c r="D161" s="16">
        <v>7</v>
      </c>
      <c r="E161" s="16">
        <v>8</v>
      </c>
      <c r="F161" s="16">
        <v>9</v>
      </c>
      <c r="G161" s="16">
        <v>9</v>
      </c>
      <c r="H161" s="17">
        <v>155</v>
      </c>
      <c r="I161" s="22"/>
      <c r="J161" s="22"/>
      <c r="K161" s="22"/>
      <c r="L161" s="22"/>
      <c r="M161" s="22"/>
      <c r="N161" s="22"/>
    </row>
    <row r="162" spans="1:14" ht="15" thickBot="1" x14ac:dyDescent="0.4">
      <c r="A162" s="15" t="s">
        <v>474</v>
      </c>
      <c r="B162" s="16">
        <v>39</v>
      </c>
      <c r="C162" s="16">
        <v>1</v>
      </c>
      <c r="D162" s="16">
        <v>6</v>
      </c>
      <c r="E162" s="16">
        <v>9</v>
      </c>
      <c r="F162" s="16">
        <v>9</v>
      </c>
      <c r="G162" s="16">
        <v>6</v>
      </c>
      <c r="H162" s="17">
        <v>144</v>
      </c>
      <c r="I162" s="22"/>
      <c r="J162" s="22"/>
      <c r="K162" s="22"/>
      <c r="L162" s="22"/>
      <c r="M162" s="22"/>
      <c r="N162" s="22"/>
    </row>
    <row r="163" spans="1:14" ht="15" thickBot="1" x14ac:dyDescent="0.4">
      <c r="A163" s="15" t="s">
        <v>475</v>
      </c>
      <c r="B163" s="16">
        <v>47</v>
      </c>
      <c r="C163" s="16" t="s">
        <v>352</v>
      </c>
      <c r="D163" s="16">
        <v>5</v>
      </c>
      <c r="E163" s="16">
        <v>8</v>
      </c>
      <c r="F163" s="16">
        <v>8</v>
      </c>
      <c r="G163" s="16">
        <v>6</v>
      </c>
      <c r="H163" s="17">
        <v>140</v>
      </c>
      <c r="I163" s="22"/>
      <c r="J163" s="22"/>
      <c r="K163" s="22"/>
      <c r="L163" s="22"/>
      <c r="M163" s="22"/>
      <c r="N163" s="22"/>
    </row>
    <row r="164" spans="1:14" ht="15" thickBot="1" x14ac:dyDescent="0.4">
      <c r="A164" s="15" t="s">
        <v>476</v>
      </c>
      <c r="B164" s="16">
        <v>43</v>
      </c>
      <c r="C164" s="16">
        <v>1</v>
      </c>
      <c r="D164" s="16">
        <v>6</v>
      </c>
      <c r="E164" s="16">
        <v>8</v>
      </c>
      <c r="F164" s="16">
        <v>7</v>
      </c>
      <c r="G164" s="16">
        <v>6</v>
      </c>
      <c r="H164" s="17">
        <v>139</v>
      </c>
      <c r="I164" s="22"/>
      <c r="J164" s="22"/>
      <c r="K164" s="22"/>
      <c r="L164" s="22"/>
      <c r="M164" s="22"/>
      <c r="N164" s="22"/>
    </row>
    <row r="165" spans="1:14" ht="15" thickBot="1" x14ac:dyDescent="0.4">
      <c r="A165" s="15" t="s">
        <v>477</v>
      </c>
      <c r="B165" s="16">
        <v>37</v>
      </c>
      <c r="C165" s="16" t="s">
        <v>352</v>
      </c>
      <c r="D165" s="16">
        <v>7</v>
      </c>
      <c r="E165" s="16">
        <v>9</v>
      </c>
      <c r="F165" s="16">
        <v>8</v>
      </c>
      <c r="G165" s="16">
        <v>6</v>
      </c>
      <c r="H165" s="17">
        <v>139</v>
      </c>
      <c r="I165" s="22"/>
      <c r="J165" s="22"/>
      <c r="K165" s="22"/>
      <c r="L165" s="22"/>
      <c r="M165" s="22"/>
      <c r="N165" s="22"/>
    </row>
    <row r="166" spans="1:14" ht="15" thickBot="1" x14ac:dyDescent="0.4">
      <c r="A166" s="15" t="s">
        <v>478</v>
      </c>
      <c r="B166" s="16">
        <v>42</v>
      </c>
      <c r="C166" s="16" t="s">
        <v>352</v>
      </c>
      <c r="D166" s="16">
        <v>6</v>
      </c>
      <c r="E166" s="16">
        <v>8</v>
      </c>
      <c r="F166" s="16">
        <v>8</v>
      </c>
      <c r="G166" s="16">
        <v>6</v>
      </c>
      <c r="H166" s="17">
        <v>138</v>
      </c>
      <c r="I166" s="22"/>
      <c r="J166" s="22"/>
      <c r="K166" s="22"/>
      <c r="L166" s="22"/>
      <c r="M166" s="22"/>
      <c r="N166" s="22"/>
    </row>
    <row r="167" spans="1:14" ht="15" thickBot="1" x14ac:dyDescent="0.4">
      <c r="A167" s="15" t="s">
        <v>479</v>
      </c>
      <c r="B167" s="16">
        <v>34</v>
      </c>
      <c r="C167" s="16" t="s">
        <v>352</v>
      </c>
      <c r="D167" s="16">
        <v>7</v>
      </c>
      <c r="E167" s="16">
        <v>9</v>
      </c>
      <c r="F167" s="16">
        <v>8</v>
      </c>
      <c r="G167" s="16">
        <v>6</v>
      </c>
      <c r="H167" s="17">
        <v>136</v>
      </c>
      <c r="I167" s="22"/>
      <c r="J167" s="22"/>
      <c r="K167" s="22"/>
      <c r="L167" s="22"/>
      <c r="M167" s="22"/>
      <c r="N167" s="22"/>
    </row>
    <row r="168" spans="1:14" ht="15" thickBot="1" x14ac:dyDescent="0.4">
      <c r="A168" s="15" t="s">
        <v>480</v>
      </c>
      <c r="B168" s="16">
        <v>34</v>
      </c>
      <c r="C168" s="16" t="s">
        <v>352</v>
      </c>
      <c r="D168" s="16">
        <v>7</v>
      </c>
      <c r="E168" s="16">
        <v>7</v>
      </c>
      <c r="F168" s="16">
        <v>8</v>
      </c>
      <c r="G168" s="16">
        <v>7</v>
      </c>
      <c r="H168" s="17">
        <v>135</v>
      </c>
      <c r="I168" s="22"/>
      <c r="J168" s="22"/>
      <c r="K168" s="22"/>
      <c r="L168" s="22"/>
      <c r="M168" s="22"/>
      <c r="N168" s="22"/>
    </row>
    <row r="169" spans="1:14" ht="15" thickBot="1" x14ac:dyDescent="0.4">
      <c r="A169" s="15" t="s">
        <v>481</v>
      </c>
      <c r="B169" s="16">
        <v>44</v>
      </c>
      <c r="C169" s="16" t="s">
        <v>352</v>
      </c>
      <c r="D169" s="16">
        <v>7</v>
      </c>
      <c r="E169" s="16">
        <v>8</v>
      </c>
      <c r="F169" s="16">
        <v>7</v>
      </c>
      <c r="G169" s="16">
        <v>5</v>
      </c>
      <c r="H169" s="17">
        <v>135</v>
      </c>
      <c r="I169" s="22"/>
      <c r="J169" s="22"/>
      <c r="K169" s="22"/>
      <c r="L169" s="22"/>
      <c r="M169" s="22"/>
      <c r="N169" s="22"/>
    </row>
    <row r="170" spans="1:14" ht="15" thickBot="1" x14ac:dyDescent="0.4">
      <c r="A170" s="15" t="s">
        <v>482</v>
      </c>
      <c r="B170" s="16">
        <v>48</v>
      </c>
      <c r="C170" s="16" t="s">
        <v>352</v>
      </c>
      <c r="D170" s="16">
        <v>6</v>
      </c>
      <c r="E170" s="16">
        <v>8</v>
      </c>
      <c r="F170" s="16">
        <v>8</v>
      </c>
      <c r="G170" s="16">
        <v>4</v>
      </c>
      <c r="H170" s="17">
        <v>134</v>
      </c>
      <c r="I170" s="22"/>
      <c r="J170" s="22"/>
      <c r="K170" s="22"/>
      <c r="L170" s="22"/>
      <c r="M170" s="22"/>
      <c r="N170" s="22"/>
    </row>
    <row r="171" spans="1:14" ht="15" thickBot="1" x14ac:dyDescent="0.4">
      <c r="A171" s="15" t="s">
        <v>483</v>
      </c>
      <c r="B171" s="16">
        <v>43</v>
      </c>
      <c r="C171" s="16" t="s">
        <v>352</v>
      </c>
      <c r="D171" s="16">
        <v>6</v>
      </c>
      <c r="E171" s="16">
        <v>8</v>
      </c>
      <c r="F171" s="16">
        <v>8</v>
      </c>
      <c r="G171" s="16">
        <v>5</v>
      </c>
      <c r="H171" s="17">
        <v>134</v>
      </c>
      <c r="I171" s="22"/>
      <c r="J171" s="22"/>
      <c r="K171" s="22"/>
      <c r="L171" s="22"/>
      <c r="M171" s="22"/>
      <c r="N171" s="22"/>
    </row>
    <row r="172" spans="1:14" ht="15" thickBot="1" x14ac:dyDescent="0.4">
      <c r="A172" s="15" t="s">
        <v>484</v>
      </c>
      <c r="B172" s="16">
        <v>37</v>
      </c>
      <c r="C172" s="16" t="s">
        <v>352</v>
      </c>
      <c r="D172" s="16">
        <v>6</v>
      </c>
      <c r="E172" s="16">
        <v>8</v>
      </c>
      <c r="F172" s="16">
        <v>8</v>
      </c>
      <c r="G172" s="16">
        <v>6</v>
      </c>
      <c r="H172" s="17">
        <v>133</v>
      </c>
      <c r="I172" s="22"/>
      <c r="J172" s="22"/>
      <c r="K172" s="22"/>
      <c r="L172" s="22"/>
      <c r="M172" s="22"/>
      <c r="N172" s="22"/>
    </row>
    <row r="173" spans="1:14" ht="15" thickBot="1" x14ac:dyDescent="0.4">
      <c r="A173" s="15" t="s">
        <v>485</v>
      </c>
      <c r="B173" s="16">
        <v>36</v>
      </c>
      <c r="C173" s="16" t="s">
        <v>352</v>
      </c>
      <c r="D173" s="16">
        <v>7</v>
      </c>
      <c r="E173" s="16">
        <v>8</v>
      </c>
      <c r="F173" s="16">
        <v>7</v>
      </c>
      <c r="G173" s="16">
        <v>6</v>
      </c>
      <c r="H173" s="17">
        <v>132</v>
      </c>
      <c r="I173" s="22"/>
      <c r="J173" s="22"/>
      <c r="K173" s="22"/>
      <c r="L173" s="22"/>
      <c r="M173" s="22"/>
      <c r="N173" s="22"/>
    </row>
    <row r="174" spans="1:14" ht="15" thickBot="1" x14ac:dyDescent="0.4">
      <c r="A174" s="15" t="s">
        <v>486</v>
      </c>
      <c r="B174" s="16">
        <v>42</v>
      </c>
      <c r="C174" s="16" t="s">
        <v>352</v>
      </c>
      <c r="D174" s="16">
        <v>7</v>
      </c>
      <c r="E174" s="16">
        <v>8</v>
      </c>
      <c r="F174" s="16">
        <v>8</v>
      </c>
      <c r="G174" s="16">
        <v>4</v>
      </c>
      <c r="H174" s="17">
        <v>131</v>
      </c>
      <c r="I174" s="22"/>
      <c r="J174" s="22"/>
      <c r="K174" s="22"/>
      <c r="L174" s="22"/>
      <c r="M174" s="22"/>
      <c r="N174" s="22"/>
    </row>
    <row r="175" spans="1:14" ht="15" thickBot="1" x14ac:dyDescent="0.4">
      <c r="A175" s="15" t="s">
        <v>487</v>
      </c>
      <c r="B175" s="16">
        <v>45</v>
      </c>
      <c r="C175" s="16" t="s">
        <v>352</v>
      </c>
      <c r="D175" s="16">
        <v>5</v>
      </c>
      <c r="E175" s="16">
        <v>8</v>
      </c>
      <c r="F175" s="16">
        <v>9</v>
      </c>
      <c r="G175" s="16">
        <v>4</v>
      </c>
      <c r="H175" s="17">
        <v>131</v>
      </c>
      <c r="I175" s="22"/>
      <c r="J175" s="22"/>
      <c r="K175" s="22"/>
      <c r="L175" s="22"/>
      <c r="M175" s="22"/>
      <c r="N175" s="22"/>
    </row>
    <row r="176" spans="1:14" ht="15" thickBot="1" x14ac:dyDescent="0.4">
      <c r="A176" s="15" t="s">
        <v>488</v>
      </c>
      <c r="B176" s="16">
        <v>36</v>
      </c>
      <c r="C176" s="16" t="s">
        <v>352</v>
      </c>
      <c r="D176" s="16">
        <v>7</v>
      </c>
      <c r="E176" s="16">
        <v>8</v>
      </c>
      <c r="F176" s="16">
        <v>8</v>
      </c>
      <c r="G176" s="16">
        <v>5</v>
      </c>
      <c r="H176" s="17">
        <v>130</v>
      </c>
      <c r="I176" s="22"/>
      <c r="J176" s="22"/>
      <c r="K176" s="22"/>
      <c r="L176" s="22"/>
      <c r="M176" s="22"/>
      <c r="N176" s="22"/>
    </row>
    <row r="177" spans="1:14" ht="15" thickBot="1" x14ac:dyDescent="0.4">
      <c r="A177" s="15" t="s">
        <v>489</v>
      </c>
      <c r="B177" s="16">
        <v>44</v>
      </c>
      <c r="C177" s="16" t="s">
        <v>352</v>
      </c>
      <c r="D177" s="16">
        <v>5</v>
      </c>
      <c r="E177" s="16">
        <v>9</v>
      </c>
      <c r="F177" s="16">
        <v>8</v>
      </c>
      <c r="G177" s="16">
        <v>4</v>
      </c>
      <c r="H177" s="17">
        <v>130</v>
      </c>
      <c r="I177" s="22"/>
      <c r="J177" s="22"/>
      <c r="K177" s="22"/>
      <c r="L177" s="22"/>
      <c r="M177" s="22"/>
      <c r="N177" s="22"/>
    </row>
    <row r="178" spans="1:14" ht="15" thickBot="1" x14ac:dyDescent="0.4">
      <c r="A178" s="18" t="s">
        <v>529</v>
      </c>
      <c r="B178" s="16">
        <v>33</v>
      </c>
      <c r="C178" s="16" t="s">
        <v>352</v>
      </c>
      <c r="D178" s="16">
        <v>6</v>
      </c>
      <c r="E178" s="16">
        <v>8</v>
      </c>
      <c r="F178" s="16">
        <v>8</v>
      </c>
      <c r="G178" s="16">
        <v>6</v>
      </c>
      <c r="H178" s="17">
        <v>129</v>
      </c>
      <c r="I178" s="22"/>
      <c r="J178" s="22"/>
      <c r="K178" s="22"/>
      <c r="L178" s="22"/>
      <c r="M178" s="22"/>
      <c r="N178" s="22"/>
    </row>
    <row r="179" spans="1:14" ht="15" thickBot="1" x14ac:dyDescent="0.4">
      <c r="A179" s="15" t="s">
        <v>490</v>
      </c>
      <c r="B179" s="16">
        <v>34</v>
      </c>
      <c r="C179" s="16" t="s">
        <v>352</v>
      </c>
      <c r="D179" s="16">
        <v>7</v>
      </c>
      <c r="E179" s="16">
        <v>8</v>
      </c>
      <c r="F179" s="16">
        <v>8</v>
      </c>
      <c r="G179" s="16">
        <v>5</v>
      </c>
      <c r="H179" s="17">
        <v>128</v>
      </c>
      <c r="I179" s="22"/>
      <c r="J179" s="22"/>
      <c r="K179" s="22"/>
      <c r="L179" s="22"/>
      <c r="M179" s="22"/>
      <c r="N179" s="22"/>
    </row>
    <row r="180" spans="1:14" ht="15" thickBot="1" x14ac:dyDescent="0.4">
      <c r="A180" s="15" t="s">
        <v>491</v>
      </c>
      <c r="B180" s="16">
        <v>37</v>
      </c>
      <c r="C180" s="16" t="s">
        <v>352</v>
      </c>
      <c r="D180" s="16">
        <v>7</v>
      </c>
      <c r="E180" s="16">
        <v>8</v>
      </c>
      <c r="F180" s="16">
        <v>7</v>
      </c>
      <c r="G180" s="16">
        <v>5</v>
      </c>
      <c r="H180" s="17">
        <v>128</v>
      </c>
      <c r="I180" s="22"/>
      <c r="J180" s="22"/>
      <c r="K180" s="22"/>
      <c r="L180" s="22"/>
      <c r="M180" s="22"/>
      <c r="N180" s="22"/>
    </row>
    <row r="181" spans="1:14" ht="15" thickBot="1" x14ac:dyDescent="0.4">
      <c r="A181" s="15" t="s">
        <v>492</v>
      </c>
      <c r="B181" s="16">
        <v>34</v>
      </c>
      <c r="C181" s="16" t="s">
        <v>352</v>
      </c>
      <c r="D181" s="16">
        <v>6</v>
      </c>
      <c r="E181" s="16">
        <v>8</v>
      </c>
      <c r="F181" s="16">
        <v>8</v>
      </c>
      <c r="G181" s="16">
        <v>5</v>
      </c>
      <c r="H181" s="17">
        <v>125</v>
      </c>
      <c r="I181" s="22"/>
      <c r="J181" s="22"/>
      <c r="K181" s="22"/>
      <c r="L181" s="22"/>
      <c r="M181" s="22"/>
      <c r="N181" s="22"/>
    </row>
    <row r="182" spans="1:14" ht="15" thickBot="1" x14ac:dyDescent="0.4">
      <c r="A182" s="15" t="s">
        <v>493</v>
      </c>
      <c r="B182" s="16">
        <v>31</v>
      </c>
      <c r="C182" s="16" t="s">
        <v>352</v>
      </c>
      <c r="D182" s="16">
        <v>7</v>
      </c>
      <c r="E182" s="16">
        <v>8</v>
      </c>
      <c r="F182" s="16">
        <v>9</v>
      </c>
      <c r="G182" s="16">
        <v>4</v>
      </c>
      <c r="H182" s="17">
        <v>123</v>
      </c>
      <c r="I182" s="22"/>
      <c r="J182" s="22"/>
      <c r="K182" s="22"/>
      <c r="L182" s="22"/>
      <c r="M182" s="22"/>
      <c r="N182" s="22"/>
    </row>
    <row r="183" spans="1:14" ht="15" thickBot="1" x14ac:dyDescent="0.4">
      <c r="A183" s="15" t="s">
        <v>494</v>
      </c>
      <c r="B183" s="16">
        <v>33</v>
      </c>
      <c r="C183" s="16" t="s">
        <v>352</v>
      </c>
      <c r="D183" s="16">
        <v>7</v>
      </c>
      <c r="E183" s="16">
        <v>8</v>
      </c>
      <c r="F183" s="16">
        <v>8</v>
      </c>
      <c r="G183" s="16">
        <v>4</v>
      </c>
      <c r="H183" s="17">
        <v>122</v>
      </c>
      <c r="I183" s="22"/>
      <c r="J183" s="22"/>
      <c r="K183" s="22"/>
      <c r="L183" s="22"/>
      <c r="M183" s="22"/>
      <c r="N183" s="22"/>
    </row>
    <row r="184" spans="1:14" ht="15" thickBot="1" x14ac:dyDescent="0.4">
      <c r="A184" s="15" t="s">
        <v>495</v>
      </c>
      <c r="B184" s="16">
        <v>31</v>
      </c>
      <c r="C184" s="16" t="s">
        <v>352</v>
      </c>
      <c r="D184" s="16">
        <v>6</v>
      </c>
      <c r="E184" s="16">
        <v>8</v>
      </c>
      <c r="F184" s="16">
        <v>7</v>
      </c>
      <c r="G184" s="16">
        <v>5</v>
      </c>
      <c r="H184" s="17">
        <v>119</v>
      </c>
      <c r="I184" s="22"/>
      <c r="J184" s="22"/>
      <c r="K184" s="22"/>
      <c r="L184" s="22"/>
      <c r="M184" s="22"/>
      <c r="N184" s="22"/>
    </row>
    <row r="185" spans="1:14" ht="15" thickBot="1" x14ac:dyDescent="0.4">
      <c r="A185" s="15" t="s">
        <v>496</v>
      </c>
      <c r="B185" s="16">
        <v>33</v>
      </c>
      <c r="C185" s="16" t="s">
        <v>352</v>
      </c>
      <c r="D185" s="16">
        <v>6</v>
      </c>
      <c r="E185" s="16">
        <v>9</v>
      </c>
      <c r="F185" s="16">
        <v>8</v>
      </c>
      <c r="G185" s="16">
        <v>3</v>
      </c>
      <c r="H185" s="17">
        <v>117</v>
      </c>
      <c r="I185" s="22"/>
      <c r="J185" s="22"/>
      <c r="K185" s="22"/>
      <c r="L185" s="22"/>
      <c r="M185" s="22"/>
      <c r="N185" s="22"/>
    </row>
    <row r="186" spans="1:14" ht="15" thickBot="1" x14ac:dyDescent="0.4">
      <c r="A186" s="7"/>
      <c r="B186" s="10" t="s">
        <v>497</v>
      </c>
      <c r="C186" s="19" t="s">
        <v>498</v>
      </c>
      <c r="D186" s="21"/>
      <c r="E186" s="19" t="s">
        <v>499</v>
      </c>
      <c r="F186" s="20"/>
      <c r="G186" s="21"/>
      <c r="H186" s="10" t="s">
        <v>317</v>
      </c>
      <c r="I186" s="10" t="s">
        <v>321</v>
      </c>
      <c r="J186" s="11" t="s">
        <v>320</v>
      </c>
      <c r="K186" s="22"/>
      <c r="L186" s="22"/>
      <c r="M186" s="22"/>
      <c r="N186" s="22"/>
    </row>
    <row r="187" spans="1:14" x14ac:dyDescent="0.35">
      <c r="A187" s="12" t="s">
        <v>500</v>
      </c>
      <c r="B187" s="13" t="s">
        <v>26</v>
      </c>
      <c r="C187" s="13" t="s">
        <v>347</v>
      </c>
      <c r="D187" s="13" t="s">
        <v>501</v>
      </c>
      <c r="E187" s="13" t="s">
        <v>502</v>
      </c>
      <c r="F187" s="13" t="s">
        <v>28</v>
      </c>
      <c r="G187" s="13" t="s">
        <v>503</v>
      </c>
      <c r="H187" s="13" t="s">
        <v>28</v>
      </c>
      <c r="I187" s="13" t="s">
        <v>504</v>
      </c>
      <c r="J187" s="14" t="s">
        <v>321</v>
      </c>
      <c r="K187" s="22"/>
      <c r="L187" s="22"/>
      <c r="M187" s="22"/>
      <c r="N187" s="22"/>
    </row>
    <row r="188" spans="1:14" ht="15" thickBot="1" x14ac:dyDescent="0.4">
      <c r="A188" s="18" t="s">
        <v>530</v>
      </c>
      <c r="B188" s="16">
        <v>45</v>
      </c>
      <c r="C188" s="16">
        <v>16</v>
      </c>
      <c r="D188" s="16">
        <v>10</v>
      </c>
      <c r="E188" s="16">
        <v>1</v>
      </c>
      <c r="F188" s="16">
        <v>3</v>
      </c>
      <c r="G188" s="16" t="s">
        <v>352</v>
      </c>
      <c r="H188" s="16" t="s">
        <v>352</v>
      </c>
      <c r="I188" s="16">
        <v>314</v>
      </c>
      <c r="J188" s="17">
        <v>152</v>
      </c>
      <c r="K188" s="22"/>
      <c r="L188" s="22"/>
      <c r="M188" s="22"/>
      <c r="N188" s="22"/>
    </row>
    <row r="189" spans="1:14" ht="15" thickBot="1" x14ac:dyDescent="0.4">
      <c r="A189" s="15" t="s">
        <v>505</v>
      </c>
      <c r="B189" s="16">
        <v>46</v>
      </c>
      <c r="C189" s="16">
        <v>14</v>
      </c>
      <c r="D189" s="16">
        <v>10</v>
      </c>
      <c r="E189" s="16">
        <v>1</v>
      </c>
      <c r="F189" s="16">
        <v>3</v>
      </c>
      <c r="G189" s="16" t="s">
        <v>352</v>
      </c>
      <c r="H189" s="16" t="s">
        <v>352</v>
      </c>
      <c r="I189" s="16">
        <v>325</v>
      </c>
      <c r="J189" s="17">
        <v>139</v>
      </c>
      <c r="K189" s="22"/>
      <c r="L189" s="22"/>
      <c r="M189" s="22"/>
      <c r="N189" s="22"/>
    </row>
    <row r="190" spans="1:14" ht="15" thickBot="1" x14ac:dyDescent="0.4">
      <c r="A190" s="15" t="s">
        <v>506</v>
      </c>
      <c r="B190" s="16">
        <v>46</v>
      </c>
      <c r="C190" s="16">
        <v>14</v>
      </c>
      <c r="D190" s="16">
        <v>10</v>
      </c>
      <c r="E190" s="16">
        <v>1</v>
      </c>
      <c r="F190" s="16">
        <v>3</v>
      </c>
      <c r="G190" s="16" t="s">
        <v>352</v>
      </c>
      <c r="H190" s="16" t="s">
        <v>352</v>
      </c>
      <c r="I190" s="16">
        <v>331</v>
      </c>
      <c r="J190" s="17">
        <v>139</v>
      </c>
      <c r="K190" s="22"/>
      <c r="L190" s="22"/>
      <c r="M190" s="22"/>
      <c r="N190" s="22"/>
    </row>
    <row r="191" spans="1:14" ht="15" thickBot="1" x14ac:dyDescent="0.4">
      <c r="A191" s="15" t="s">
        <v>507</v>
      </c>
      <c r="B191" s="16">
        <v>45</v>
      </c>
      <c r="C191" s="16">
        <v>14</v>
      </c>
      <c r="D191" s="16">
        <v>10</v>
      </c>
      <c r="E191" s="16">
        <v>1</v>
      </c>
      <c r="F191" s="16">
        <v>3</v>
      </c>
      <c r="G191" s="16" t="s">
        <v>352</v>
      </c>
      <c r="H191" s="16" t="s">
        <v>352</v>
      </c>
      <c r="I191" s="16">
        <v>331</v>
      </c>
      <c r="J191" s="17">
        <v>138</v>
      </c>
      <c r="K191" s="22"/>
      <c r="L191" s="22"/>
      <c r="M191" s="22"/>
      <c r="N191" s="22"/>
    </row>
    <row r="192" spans="1:14" ht="15" thickBot="1" x14ac:dyDescent="0.4">
      <c r="A192" s="15" t="s">
        <v>508</v>
      </c>
      <c r="B192" s="16">
        <v>45</v>
      </c>
      <c r="C192" s="16">
        <v>14</v>
      </c>
      <c r="D192" s="16">
        <v>10</v>
      </c>
      <c r="E192" s="16">
        <v>1</v>
      </c>
      <c r="F192" s="16">
        <v>3</v>
      </c>
      <c r="G192" s="16" t="s">
        <v>352</v>
      </c>
      <c r="H192" s="16" t="s">
        <v>352</v>
      </c>
      <c r="I192" s="16">
        <v>339</v>
      </c>
      <c r="J192" s="17">
        <v>138</v>
      </c>
      <c r="K192" s="22"/>
      <c r="L192" s="22"/>
      <c r="M192" s="22"/>
      <c r="N192" s="22"/>
    </row>
    <row r="193" spans="1:14" ht="15" thickBot="1" x14ac:dyDescent="0.4">
      <c r="A193" s="15" t="s">
        <v>509</v>
      </c>
      <c r="B193" s="16">
        <v>46</v>
      </c>
      <c r="C193" s="16">
        <v>14</v>
      </c>
      <c r="D193" s="16">
        <v>10</v>
      </c>
      <c r="E193" s="16">
        <v>1</v>
      </c>
      <c r="F193" s="16">
        <v>3</v>
      </c>
      <c r="G193" s="16" t="s">
        <v>352</v>
      </c>
      <c r="H193" s="16" t="s">
        <v>352</v>
      </c>
      <c r="I193" s="16">
        <v>348</v>
      </c>
      <c r="J193" s="17">
        <v>135</v>
      </c>
      <c r="K193" s="22"/>
      <c r="L193" s="22"/>
      <c r="M193" s="22"/>
      <c r="N193" s="22"/>
    </row>
    <row r="194" spans="1:14" ht="15" thickBot="1" x14ac:dyDescent="0.4">
      <c r="A194" s="15" t="s">
        <v>510</v>
      </c>
      <c r="B194" s="16">
        <v>45</v>
      </c>
      <c r="C194" s="16">
        <v>13</v>
      </c>
      <c r="D194" s="16">
        <v>10</v>
      </c>
      <c r="E194" s="16">
        <v>1</v>
      </c>
      <c r="F194" s="16">
        <v>3</v>
      </c>
      <c r="G194" s="16" t="s">
        <v>352</v>
      </c>
      <c r="H194" s="16" t="s">
        <v>352</v>
      </c>
      <c r="I194" s="16">
        <v>348</v>
      </c>
      <c r="J194" s="17">
        <v>132</v>
      </c>
      <c r="K194" s="22"/>
      <c r="L194" s="22"/>
      <c r="M194" s="22"/>
      <c r="N194" s="22"/>
    </row>
    <row r="195" spans="1:14" ht="15" thickBot="1" x14ac:dyDescent="0.4">
      <c r="A195" s="18" t="s">
        <v>531</v>
      </c>
      <c r="B195" s="16">
        <v>45</v>
      </c>
      <c r="C195" s="16">
        <v>13</v>
      </c>
      <c r="D195" s="16">
        <v>10</v>
      </c>
      <c r="E195" s="16">
        <v>1</v>
      </c>
      <c r="F195" s="16">
        <v>3</v>
      </c>
      <c r="G195" s="16" t="s">
        <v>352</v>
      </c>
      <c r="H195" s="16" t="s">
        <v>352</v>
      </c>
      <c r="I195" s="16">
        <v>352</v>
      </c>
      <c r="J195" s="17">
        <v>128</v>
      </c>
      <c r="K195" s="22"/>
      <c r="L195" s="22"/>
      <c r="M195" s="22"/>
      <c r="N195" s="22"/>
    </row>
    <row r="196" spans="1:14" ht="15" thickBot="1" x14ac:dyDescent="0.4">
      <c r="A196" s="15" t="s">
        <v>511</v>
      </c>
      <c r="B196" s="16">
        <v>44</v>
      </c>
      <c r="C196" s="16">
        <v>13</v>
      </c>
      <c r="D196" s="16">
        <v>10</v>
      </c>
      <c r="E196" s="16">
        <v>1</v>
      </c>
      <c r="F196" s="16">
        <v>3</v>
      </c>
      <c r="G196" s="16" t="s">
        <v>352</v>
      </c>
      <c r="H196" s="16" t="s">
        <v>352</v>
      </c>
      <c r="I196" s="16">
        <v>363</v>
      </c>
      <c r="J196" s="17">
        <v>126</v>
      </c>
      <c r="K196" s="22"/>
      <c r="L196" s="22"/>
      <c r="M196" s="22"/>
      <c r="N196" s="22"/>
    </row>
    <row r="197" spans="1:14" ht="15" thickBot="1" x14ac:dyDescent="0.4">
      <c r="A197" s="18" t="s">
        <v>532</v>
      </c>
      <c r="B197" s="16">
        <v>47</v>
      </c>
      <c r="C197" s="16">
        <v>13</v>
      </c>
      <c r="D197" s="16">
        <v>10</v>
      </c>
      <c r="E197" s="16" t="s">
        <v>352</v>
      </c>
      <c r="F197" s="16">
        <v>3</v>
      </c>
      <c r="G197" s="16" t="s">
        <v>352</v>
      </c>
      <c r="H197" s="16" t="s">
        <v>352</v>
      </c>
      <c r="I197" s="16">
        <v>354</v>
      </c>
      <c r="J197" s="17">
        <v>120</v>
      </c>
      <c r="K197" s="22"/>
      <c r="L197" s="22"/>
      <c r="M197" s="22"/>
      <c r="N197" s="22"/>
    </row>
    <row r="198" spans="1:14" ht="15" thickBot="1" x14ac:dyDescent="0.4">
      <c r="A198" s="18" t="s">
        <v>533</v>
      </c>
      <c r="B198" s="16">
        <v>43</v>
      </c>
      <c r="C198" s="16">
        <v>12</v>
      </c>
      <c r="D198" s="16">
        <v>9</v>
      </c>
      <c r="E198" s="16" t="s">
        <v>352</v>
      </c>
      <c r="F198" s="16">
        <v>2</v>
      </c>
      <c r="G198" s="16" t="s">
        <v>352</v>
      </c>
      <c r="H198" s="16" t="s">
        <v>352</v>
      </c>
      <c r="I198" s="16">
        <v>371</v>
      </c>
      <c r="J198" s="17">
        <v>111</v>
      </c>
      <c r="K198" s="22"/>
      <c r="L198" s="22"/>
      <c r="M198" s="22"/>
      <c r="N198" s="22"/>
    </row>
    <row r="199" spans="1:14" ht="15" thickBot="1" x14ac:dyDescent="0.4">
      <c r="A199" s="15" t="s">
        <v>512</v>
      </c>
      <c r="B199" s="16">
        <v>42</v>
      </c>
      <c r="C199" s="16">
        <v>12</v>
      </c>
      <c r="D199" s="16">
        <v>9</v>
      </c>
      <c r="E199" s="16" t="s">
        <v>352</v>
      </c>
      <c r="F199" s="16">
        <v>2</v>
      </c>
      <c r="G199" s="16" t="s">
        <v>352</v>
      </c>
      <c r="H199" s="16" t="s">
        <v>352</v>
      </c>
      <c r="I199" s="16">
        <v>376</v>
      </c>
      <c r="J199" s="17">
        <v>108</v>
      </c>
      <c r="K199" s="22"/>
      <c r="L199" s="22"/>
      <c r="M199" s="22"/>
      <c r="N199" s="22"/>
    </row>
    <row r="200" spans="1:14" ht="15" thickBot="1" x14ac:dyDescent="0.4">
      <c r="A200" s="15" t="s">
        <v>513</v>
      </c>
      <c r="B200" s="16">
        <v>42</v>
      </c>
      <c r="C200" s="16">
        <v>12</v>
      </c>
      <c r="D200" s="16">
        <v>9</v>
      </c>
      <c r="E200" s="16" t="s">
        <v>352</v>
      </c>
      <c r="F200" s="16">
        <v>2</v>
      </c>
      <c r="G200" s="16" t="s">
        <v>352</v>
      </c>
      <c r="H200" s="16" t="s">
        <v>352</v>
      </c>
      <c r="I200" s="16">
        <v>375</v>
      </c>
      <c r="J200" s="17">
        <v>105</v>
      </c>
      <c r="K200" s="22"/>
      <c r="L200" s="22"/>
      <c r="M200" s="22"/>
      <c r="N200" s="22"/>
    </row>
    <row r="201" spans="1:14" ht="15" thickBot="1" x14ac:dyDescent="0.4">
      <c r="A201" s="18" t="s">
        <v>534</v>
      </c>
      <c r="B201" s="16">
        <v>37</v>
      </c>
      <c r="C201" s="16">
        <v>12</v>
      </c>
      <c r="D201" s="16">
        <v>8</v>
      </c>
      <c r="E201" s="16" t="s">
        <v>352</v>
      </c>
      <c r="F201" s="16">
        <v>2</v>
      </c>
      <c r="G201" s="16" t="s">
        <v>352</v>
      </c>
      <c r="H201" s="16">
        <v>1</v>
      </c>
      <c r="I201" s="16">
        <v>386</v>
      </c>
      <c r="J201" s="17">
        <v>102</v>
      </c>
      <c r="K201" s="22"/>
      <c r="L201" s="22"/>
      <c r="M201" s="22"/>
      <c r="N201" s="22"/>
    </row>
    <row r="202" spans="1:14" ht="15" thickBot="1" x14ac:dyDescent="0.4">
      <c r="A202" s="18" t="s">
        <v>535</v>
      </c>
      <c r="B202" s="16">
        <v>42</v>
      </c>
      <c r="C202" s="16">
        <v>13</v>
      </c>
      <c r="D202" s="16">
        <v>9</v>
      </c>
      <c r="E202" s="16" t="s">
        <v>352</v>
      </c>
      <c r="F202" s="16">
        <v>2</v>
      </c>
      <c r="G202" s="16" t="s">
        <v>352</v>
      </c>
      <c r="H202" s="16" t="s">
        <v>352</v>
      </c>
      <c r="I202" s="16">
        <v>378</v>
      </c>
      <c r="J202" s="17">
        <v>101</v>
      </c>
      <c r="K202" s="22"/>
      <c r="L202" s="22"/>
      <c r="M202" s="22"/>
      <c r="N202" s="22"/>
    </row>
    <row r="203" spans="1:14" ht="15" thickBot="1" x14ac:dyDescent="0.4">
      <c r="A203" s="18" t="s">
        <v>536</v>
      </c>
      <c r="B203" s="16">
        <v>42</v>
      </c>
      <c r="C203" s="16">
        <v>13</v>
      </c>
      <c r="D203" s="16">
        <v>9</v>
      </c>
      <c r="E203" s="16" t="s">
        <v>352</v>
      </c>
      <c r="F203" s="16">
        <v>2</v>
      </c>
      <c r="G203" s="16" t="s">
        <v>352</v>
      </c>
      <c r="H203" s="16" t="s">
        <v>352</v>
      </c>
      <c r="I203" s="16">
        <v>378</v>
      </c>
      <c r="J203" s="17">
        <v>101</v>
      </c>
      <c r="K203" s="22"/>
      <c r="L203" s="22"/>
      <c r="M203" s="22"/>
      <c r="N203" s="22"/>
    </row>
    <row r="204" spans="1:14" ht="15" thickBot="1" x14ac:dyDescent="0.4">
      <c r="A204" s="15" t="s">
        <v>514</v>
      </c>
      <c r="B204" s="16">
        <v>42</v>
      </c>
      <c r="C204" s="16">
        <v>12</v>
      </c>
      <c r="D204" s="16">
        <v>9</v>
      </c>
      <c r="E204" s="16" t="s">
        <v>352</v>
      </c>
      <c r="F204" s="16">
        <v>2</v>
      </c>
      <c r="G204" s="16" t="s">
        <v>352</v>
      </c>
      <c r="H204" s="16" t="s">
        <v>352</v>
      </c>
      <c r="I204" s="16">
        <v>383</v>
      </c>
      <c r="J204" s="17">
        <v>99</v>
      </c>
      <c r="K204" s="22"/>
      <c r="L204" s="22"/>
      <c r="M204" s="22"/>
      <c r="N204" s="22"/>
    </row>
    <row r="205" spans="1:14" ht="15" thickBot="1" x14ac:dyDescent="0.4">
      <c r="A205" s="18" t="s">
        <v>537</v>
      </c>
      <c r="B205" s="16">
        <v>40</v>
      </c>
      <c r="C205" s="16">
        <v>12</v>
      </c>
      <c r="D205" s="16">
        <v>8</v>
      </c>
      <c r="E205" s="16" t="s">
        <v>352</v>
      </c>
      <c r="F205" s="16">
        <v>2</v>
      </c>
      <c r="G205" s="16" t="s">
        <v>352</v>
      </c>
      <c r="H205" s="16" t="s">
        <v>352</v>
      </c>
      <c r="I205" s="16">
        <v>380</v>
      </c>
      <c r="J205" s="17">
        <v>95</v>
      </c>
      <c r="K205" s="22"/>
      <c r="L205" s="22"/>
      <c r="M205" s="22"/>
      <c r="N205" s="22"/>
    </row>
    <row r="206" spans="1:14" ht="15" thickBot="1" x14ac:dyDescent="0.4">
      <c r="A206" s="15" t="s">
        <v>515</v>
      </c>
      <c r="B206" s="16">
        <v>40</v>
      </c>
      <c r="C206" s="16">
        <v>12</v>
      </c>
      <c r="D206" s="16">
        <v>8</v>
      </c>
      <c r="E206" s="16" t="s">
        <v>352</v>
      </c>
      <c r="F206" s="16">
        <v>2</v>
      </c>
      <c r="G206" s="16" t="s">
        <v>352</v>
      </c>
      <c r="H206" s="16" t="s">
        <v>352</v>
      </c>
      <c r="I206" s="16">
        <v>393</v>
      </c>
      <c r="J206" s="17">
        <v>95</v>
      </c>
      <c r="K206" s="22"/>
      <c r="L206" s="22"/>
      <c r="M206" s="22"/>
      <c r="N206" s="22"/>
    </row>
    <row r="207" spans="1:14" ht="15" thickBot="1" x14ac:dyDescent="0.4">
      <c r="A207" s="18" t="s">
        <v>538</v>
      </c>
      <c r="B207" s="16">
        <v>39</v>
      </c>
      <c r="C207" s="16">
        <v>12</v>
      </c>
      <c r="D207" s="16">
        <v>8</v>
      </c>
      <c r="E207" s="16" t="s">
        <v>352</v>
      </c>
      <c r="F207" s="16">
        <v>2</v>
      </c>
      <c r="G207" s="16" t="s">
        <v>352</v>
      </c>
      <c r="H207" s="16">
        <v>1</v>
      </c>
      <c r="I207" s="16">
        <v>391</v>
      </c>
      <c r="J207" s="17">
        <v>94</v>
      </c>
      <c r="K207" s="22"/>
      <c r="L207" s="22"/>
      <c r="M207" s="22"/>
      <c r="N207" s="22"/>
    </row>
    <row r="208" spans="1:14" ht="15" thickBot="1" x14ac:dyDescent="0.4">
      <c r="A208" s="15" t="s">
        <v>516</v>
      </c>
      <c r="B208" s="16">
        <v>41</v>
      </c>
      <c r="C208" s="16">
        <v>12</v>
      </c>
      <c r="D208" s="16">
        <v>8</v>
      </c>
      <c r="E208" s="16" t="s">
        <v>352</v>
      </c>
      <c r="F208" s="16">
        <v>2</v>
      </c>
      <c r="G208" s="16" t="s">
        <v>352</v>
      </c>
      <c r="H208" s="16" t="s">
        <v>352</v>
      </c>
      <c r="I208" s="16">
        <v>406</v>
      </c>
      <c r="J208" s="17">
        <v>93</v>
      </c>
      <c r="K208" s="22"/>
      <c r="L208" s="22"/>
      <c r="M208" s="22"/>
      <c r="N208" s="22"/>
    </row>
    <row r="209" spans="1:14" ht="15" thickBot="1" x14ac:dyDescent="0.4">
      <c r="A209" s="15" t="s">
        <v>517</v>
      </c>
      <c r="B209" s="16">
        <v>42</v>
      </c>
      <c r="C209" s="16">
        <v>12</v>
      </c>
      <c r="D209" s="16">
        <v>9</v>
      </c>
      <c r="E209" s="16" t="s">
        <v>352</v>
      </c>
      <c r="F209" s="16">
        <v>2</v>
      </c>
      <c r="G209" s="16" t="s">
        <v>352</v>
      </c>
      <c r="H209" s="16" t="s">
        <v>352</v>
      </c>
      <c r="I209" s="16">
        <v>452</v>
      </c>
      <c r="J209" s="17">
        <v>92</v>
      </c>
      <c r="K209" s="22"/>
      <c r="L209" s="22"/>
      <c r="M209" s="22"/>
      <c r="N209" s="22"/>
    </row>
    <row r="210" spans="1:14" ht="15" thickBot="1" x14ac:dyDescent="0.4">
      <c r="A210" s="15" t="s">
        <v>518</v>
      </c>
      <c r="B210" s="16">
        <v>38</v>
      </c>
      <c r="C210" s="16">
        <v>12</v>
      </c>
      <c r="D210" s="16">
        <v>8</v>
      </c>
      <c r="E210" s="16" t="s">
        <v>352</v>
      </c>
      <c r="F210" s="16">
        <v>2</v>
      </c>
      <c r="G210" s="16" t="s">
        <v>352</v>
      </c>
      <c r="H210" s="16">
        <v>1</v>
      </c>
      <c r="I210" s="16">
        <v>411</v>
      </c>
      <c r="J210" s="17">
        <v>91</v>
      </c>
      <c r="K210" s="22"/>
      <c r="L210" s="22"/>
      <c r="M210" s="22"/>
      <c r="N210" s="22"/>
    </row>
    <row r="211" spans="1:14" ht="15" thickBot="1" x14ac:dyDescent="0.4">
      <c r="A211" s="18" t="s">
        <v>539</v>
      </c>
      <c r="B211" s="16">
        <v>40</v>
      </c>
      <c r="C211" s="16">
        <v>11</v>
      </c>
      <c r="D211" s="16">
        <v>8</v>
      </c>
      <c r="E211" s="16" t="s">
        <v>352</v>
      </c>
      <c r="F211" s="16">
        <v>2</v>
      </c>
      <c r="G211" s="16" t="s">
        <v>352</v>
      </c>
      <c r="H211" s="16" t="s">
        <v>352</v>
      </c>
      <c r="I211" s="16">
        <v>419</v>
      </c>
      <c r="J211" s="17">
        <v>90</v>
      </c>
      <c r="K211" s="22"/>
      <c r="L211" s="22"/>
      <c r="M211" s="22"/>
      <c r="N211" s="22"/>
    </row>
    <row r="212" spans="1:14" ht="15" thickBot="1" x14ac:dyDescent="0.4">
      <c r="A212" s="15" t="s">
        <v>519</v>
      </c>
      <c r="B212" s="16">
        <v>40</v>
      </c>
      <c r="C212" s="16">
        <v>12</v>
      </c>
      <c r="D212" s="16">
        <v>8</v>
      </c>
      <c r="E212" s="16" t="s">
        <v>352</v>
      </c>
      <c r="F212" s="16">
        <v>2</v>
      </c>
      <c r="G212" s="16" t="s">
        <v>352</v>
      </c>
      <c r="H212" s="16" t="s">
        <v>352</v>
      </c>
      <c r="I212" s="16">
        <v>415</v>
      </c>
      <c r="J212" s="17">
        <v>90</v>
      </c>
      <c r="K212" s="22"/>
      <c r="L212" s="22"/>
      <c r="M212" s="22"/>
      <c r="N212" s="22"/>
    </row>
  </sheetData>
  <hyperlinks>
    <hyperlink ref="A2" r:id="rId1" display="https://fantasy.nfl.com/research/projections?position=1&amp;sort=name&amp;statCategory=projectedStats&amp;statSeason=2025&amp;statType=seasonProjectedStats&amp;statWeek=16" xr:uid="{E0AFD67D-E0D9-445B-A44D-516360F4CC5B}"/>
    <hyperlink ref="B2" r:id="rId2" display="https://fantasy.nfl.com/research/projections?position=1&amp;sort=5&amp;statCategory=projectedStats&amp;statSeason=2025&amp;statType=seasonProjectedStats&amp;statWeek=16" xr:uid="{91B33F57-F0CF-4E22-87E3-10C1615A7AA5}"/>
    <hyperlink ref="C2" r:id="rId3" display="https://fantasy.nfl.com/research/projections?position=1&amp;sort=6&amp;statCategory=projectedStats&amp;statSeason=2025&amp;statType=seasonProjectedStats&amp;statWeek=16" xr:uid="{C902E4D4-B1B9-4FDA-B4C8-3F10CB31E147}"/>
    <hyperlink ref="D2" r:id="rId4" display="https://fantasy.nfl.com/research/projections?position=1&amp;sort=7&amp;statCategory=projectedStats&amp;statSeason=2025&amp;statType=seasonProjectedStats&amp;statWeek=16" xr:uid="{CC323B0B-07E4-4FD6-99F6-B75F2BB53A50}"/>
    <hyperlink ref="E2" r:id="rId5" display="https://fantasy.nfl.com/research/projections?position=1&amp;sort=14&amp;statCategory=projectedStats&amp;statSeason=2025&amp;statType=seasonProjectedStats&amp;statWeek=16" xr:uid="{1C14BDCE-439B-4161-9D8E-1E9A5481009C}"/>
    <hyperlink ref="F2" r:id="rId6" display="https://fantasy.nfl.com/research/projections?position=1&amp;sort=15&amp;statCategory=projectedStats&amp;statSeason=2025&amp;statType=seasonProjectedStats&amp;statWeek=16" xr:uid="{F7753311-1C39-4505-90B0-074311E0D773}"/>
    <hyperlink ref="G2" r:id="rId7" display="https://fantasy.nfl.com/research/projections?position=1&amp;sort=20&amp;statCategory=projectedStats&amp;statSeason=2025&amp;statType=seasonProjectedStats&amp;statWeek=16" xr:uid="{C03404F7-A3F3-4996-9606-5D4D5FA0C5D9}"/>
    <hyperlink ref="H2" r:id="rId8" display="https://fantasy.nfl.com/research/projections?position=1&amp;sort=21&amp;statCategory=projectedStats&amp;statSeason=2025&amp;statType=seasonProjectedStats&amp;statWeek=16" xr:uid="{E62AFF04-E582-412F-9FAA-591BA5839FBB}"/>
    <hyperlink ref="I2" r:id="rId9" display="https://fantasy.nfl.com/research/projections?position=1&amp;sort=22&amp;statCategory=projectedStats&amp;statSeason=2025&amp;statType=seasonProjectedStats&amp;statWeek=16" xr:uid="{B4ED0244-AA69-42C8-868D-09A5C0D96C43}"/>
    <hyperlink ref="J2" r:id="rId10" display="https://fantasy.nfl.com/research/projections?position=1&amp;sort=28&amp;statCategory=projectedStats&amp;statSeason=2025&amp;statType=seasonProjectedStats&amp;statWeek=16" xr:uid="{6754BA7F-BF98-48E8-927E-165EE454FC0A}"/>
    <hyperlink ref="K2" r:id="rId11" display="https://fantasy.nfl.com/research/projections?position=1&amp;sort=29&amp;statCategory=projectedStats&amp;statSeason=2025&amp;statType=seasonProjectedStats&amp;statWeek=16" xr:uid="{430FC147-CF4C-491C-B1A8-AF0D20C5ED88}"/>
    <hyperlink ref="L2" r:id="rId12" display="https://fantasy.nfl.com/research/projections?position=1&amp;sort=32&amp;statCategory=projectedStats&amp;statSeason=2025&amp;statType=seasonProjectedStats&amp;statWeek=16" xr:uid="{593B29E6-7029-462C-8318-5D79F5681291}"/>
    <hyperlink ref="M2" r:id="rId13" display="https://fantasy.nfl.com/research/projections?position=1&amp;sort=30&amp;statCategory=projectedStats&amp;statSeason=2025&amp;statType=seasonProjectedStats&amp;statWeek=16" xr:uid="{24A195D6-6797-4AD4-B223-4A648DF375BB}"/>
    <hyperlink ref="N2" r:id="rId14" display="https://fantasy.nfl.com/research/projections?position=1&amp;sort=projectedPts&amp;statCategory=projectedStats&amp;statSeason=2025&amp;statType=seasonProjectedStats&amp;statWeek=16" xr:uid="{B3692454-5D1A-4D16-A738-916BB2DE8D2D}"/>
    <hyperlink ref="A3" r:id="rId15" display="https://fantasy.nfl.com/players/card?leagueId=0&amp;playerId=2560757" xr:uid="{A154EFB5-1ECB-41DE-BAD1-8963F3A9E152}"/>
    <hyperlink ref="A4" r:id="rId16" display="https://fantasy.nfl.com/players/card?leagueId=0&amp;playerId=2560955" xr:uid="{92B3CB03-AB24-4959-BA67-2A746508296A}"/>
    <hyperlink ref="A5" r:id="rId17" display="https://fantasy.nfl.com/players/card?leagueId=0&amp;playerId=2564832" xr:uid="{56200CA4-07F4-4579-93DE-AA2BA9F1CB47}"/>
    <hyperlink ref="A6" r:id="rId18" display="https://fantasy.nfl.com/players/card?leagueId=0&amp;playerId=2572564" xr:uid="{B9986717-E145-45A3-8904-F55F2B1A17AE}"/>
    <hyperlink ref="A7" r:id="rId19" display="https://fantasy.nfl.com/players/card?leagueId=0&amp;playerId=2558125" xr:uid="{84ACA48C-F402-4BDF-96D4-B46D51FFD746}"/>
    <hyperlink ref="A8" r:id="rId20" display="https://fantasy.nfl.com/players/card?leagueId=0&amp;playerId=2563722" xr:uid="{E9971D0D-BECA-4C5B-8DE3-F7A73AA78E97}"/>
    <hyperlink ref="A9" r:id="rId21" display="https://fantasy.nfl.com/players/card?leagueId=0&amp;playerId=2560800" xr:uid="{B2082291-B5C9-4A9B-B0CC-639798D27956}"/>
    <hyperlink ref="A10" r:id="rId22" display="https://fantasy.nfl.com/players/card?leagueId=0&amp;playerId=2562382" xr:uid="{7C89A779-1BE7-4BBC-9251-D13768FF869E}"/>
    <hyperlink ref="A11" r:id="rId23" display="https://fantasy.nfl.com/players/card?leagueId=0&amp;playerId=2568216" xr:uid="{D80329D4-FCE5-4675-B680-8F77EA2A0DCC}"/>
    <hyperlink ref="A12" r:id="rId24" display="https://fantasy.nfl.com/players/card?leagueId=0&amp;playerId=2572003" xr:uid="{E0D5B315-418A-4F67-8A11-3006D2DAECF3}"/>
    <hyperlink ref="A13" r:id="rId25" display="https://fantasy.nfl.com/players/card?leagueId=0&amp;playerId=2572294" xr:uid="{69FAA61F-B474-4852-9C95-11C58F2B5030}"/>
    <hyperlink ref="A14" r:id="rId26" display="https://fantasy.nfl.com/players/card?leagueId=0&amp;playerId=2572270" xr:uid="{336CAC00-0B04-4424-9C0E-5720C04CDBE9}"/>
    <hyperlink ref="A15" r:id="rId27" display="https://fantasy.nfl.com/players/card?leagueId=0&amp;playerId=2571913" xr:uid="{5B0AA44C-91BE-4A5B-BC70-1C7062A5A9DA}"/>
    <hyperlink ref="A16" r:id="rId28" display="https://fantasy.nfl.com/players/card?leagueId=0&amp;playerId=2566163" xr:uid="{4A53DC20-8C8A-4464-9EA5-9D3E66D9B3B0}"/>
    <hyperlink ref="A17" r:id="rId29" display="https://fantasy.nfl.com/players/card?leagueId=0&amp;playerId=2565920" xr:uid="{1170A8FF-043D-4CE9-9212-66BE7010C77D}"/>
    <hyperlink ref="A18" r:id="rId30" display="https://fantasy.nfl.com/players/card?leagueId=0&amp;playerId=2565045" xr:uid="{4167BDD4-2E1F-459D-9465-EBBE6CA38BAD}"/>
    <hyperlink ref="A19" r:id="rId31" display="https://fantasy.nfl.com/players/card?leagueId=0&amp;playerId=2555260" xr:uid="{6EA45A7A-7ED7-456A-9E8D-A12439CD4AAD}"/>
    <hyperlink ref="A20" r:id="rId32" display="https://fantasy.nfl.com/players/card?leagueId=0&amp;playerId=2569819" xr:uid="{1423033B-3F05-440E-8E45-28DA5D1349A9}"/>
    <hyperlink ref="A21" r:id="rId33" display="https://fantasy.nfl.com/players/card?leagueId=0&amp;playerId=2555334" xr:uid="{EC4727CE-A27C-419A-9601-1F26C093BF5D}"/>
    <hyperlink ref="A22" r:id="rId34" display="https://fantasy.nfl.com/players/card?leagueId=0&amp;playerId=2569606" xr:uid="{D209BE06-99E9-4068-B939-AADE7A5458A4}"/>
    <hyperlink ref="A23" r:id="rId35" display="https://fantasy.nfl.com/players/card?leagueId=0&amp;playerId=2564007" xr:uid="{1C537788-AA27-445D-811F-4A448DFBDCC6}"/>
    <hyperlink ref="A25" r:id="rId36" display="https://fantasy.nfl.com/players/card?leagueId=0&amp;playerId=2574164" xr:uid="{3B27B029-D6CD-40EE-A63E-CC3EF10B7A83}"/>
    <hyperlink ref="A26" r:id="rId37" display="https://fantasy.nfl.com/players/card?leagueId=0&amp;playerId=79860" xr:uid="{15617E6B-58F3-454D-8AC3-741954E84E84}"/>
    <hyperlink ref="A27" r:id="rId38" display="https://fantasy.nfl.com/players/card?leagueId=0&amp;playerId=2539335" xr:uid="{31720423-7B47-433D-9E99-DA4E7ACBF32F}"/>
    <hyperlink ref="A38" r:id="rId39" display="https://fantasy.nfl.com/players/card?leagueId=0&amp;playerId=2564148" xr:uid="{4989E5FB-C1D8-42EB-B943-F2A418E3EA6E}"/>
    <hyperlink ref="A39" r:id="rId40" display="https://fantasy.nfl.com/players/card?leagueId=0&amp;playerId=2569642" xr:uid="{772FCAEA-176E-4B45-A9F0-7F143E09BEE1}"/>
    <hyperlink ref="A40" r:id="rId41" display="https://fantasy.nfl.com/players/card?leagueId=0&amp;playerId=2572546" xr:uid="{531C6715-EEDC-4567-BEF7-05F528A8CB51}"/>
    <hyperlink ref="A41" r:id="rId42" display="https://fantasy.nfl.com/players/card?leagueId=0&amp;playerId=2567862" xr:uid="{85206A47-F50F-4DF4-85CE-61ED292C0D9F}"/>
    <hyperlink ref="A42" r:id="rId43" display="https://fantasy.nfl.com/players/card?leagueId=0&amp;playerId=2574514" xr:uid="{B4DF29A5-C324-496B-89EA-80AF259C2ACE}"/>
    <hyperlink ref="A43" r:id="rId44" display="https://fantasy.nfl.com/players/card?leagueId=0&amp;playerId=2558019" xr:uid="{9834653A-6E6F-4CE5-8EFD-0A081B884244}"/>
    <hyperlink ref="A44" r:id="rId45" display="https://fantasy.nfl.com/players/card?leagueId=0&amp;playerId=2557978" xr:uid="{629973E1-AA63-4647-BCE6-293B646420AF}"/>
    <hyperlink ref="A45" r:id="rId46" display="https://fantasy.nfl.com/players/card?leagueId=0&amp;playerId=2567328" xr:uid="{B5F32B50-ACB8-43F1-B383-620096C41053}"/>
    <hyperlink ref="A46" r:id="rId47" display="https://fantasy.nfl.com/players/card?leagueId=0&amp;playerId=2568030" xr:uid="{902E9068-6B96-43C5-8D54-4E9ADFDE048F}"/>
    <hyperlink ref="A47" r:id="rId48" display="https://fantasy.nfl.com/players/card?leagueId=0&amp;playerId=2565899" xr:uid="{E3D7BF31-D47A-4756-A335-76D9758332F9}"/>
    <hyperlink ref="A48" r:id="rId49" display="https://fantasy.nfl.com/players/card?leagueId=0&amp;playerId=2562699" xr:uid="{B3CFB5CB-CA6B-4A3D-BEB0-57956E5A5AA2}"/>
    <hyperlink ref="A49" r:id="rId50" display="https://fantasy.nfl.com/players/card?leagueId=0&amp;playerId=2574374" xr:uid="{5B9D6DB6-E1AC-4FF4-B04E-5EE720E82A2B}"/>
    <hyperlink ref="A51" r:id="rId51" display="https://fantasy.nfl.com/players/card?leagueId=0&amp;playerId=2567808" xr:uid="{1A793EB0-33AA-4D68-9AFC-D93CFF0AC4EE}"/>
    <hyperlink ref="A52" r:id="rId52" display="https://fantasy.nfl.com/players/card?leagueId=0&amp;playerId=2562502" xr:uid="{2F3C6E08-A0F8-48D8-8459-1EF2D673FE44}"/>
    <hyperlink ref="A53" r:id="rId53" display="https://fantasy.nfl.com/players/card?leagueId=0&amp;playerId=2568282" xr:uid="{4C486A4D-DBDC-412A-AE6D-DBD9A4553327}"/>
    <hyperlink ref="A54" r:id="rId54" display="https://fantasy.nfl.com/players/card?leagueId=0&amp;playerId=2563965" xr:uid="{484B9F7A-27BB-4EAF-AF87-D29E38987A3E}"/>
    <hyperlink ref="A55" r:id="rId55" display="https://fantasy.nfl.com/players/card?leagueId=0&amp;playerId=2572351" xr:uid="{B30A97F4-4A8E-4A38-8980-46A6C2B30B38}"/>
    <hyperlink ref="A56" r:id="rId56" display="https://fantasy.nfl.com/players/card?leagueId=0&amp;playerId=2568493" xr:uid="{C25B23B1-3174-4565-AE73-D95D321ACB54}"/>
    <hyperlink ref="A57" r:id="rId57" display="https://fantasy.nfl.com/players/card?leagueId=0&amp;playerId=2558116" xr:uid="{823F669F-34C8-4B17-8029-974E5D357C28}"/>
    <hyperlink ref="A58" r:id="rId58" display="https://fantasy.nfl.com/players/card?leagueId=0&amp;playerId=2574496" xr:uid="{C753AA6B-4D11-49D4-8C07-C2ED81547D2C}"/>
    <hyperlink ref="A59" r:id="rId59" display="https://fantasy.nfl.com/players/card?leagueId=0&amp;playerId=2563548" xr:uid="{212D3BB3-B830-4C0F-B005-A8CDDEDCC330}"/>
    <hyperlink ref="A60" r:id="rId60" display="https://fantasy.nfl.com/players/card?leagueId=0&amp;playerId=2559169" xr:uid="{87B99110-ED40-40C2-A4FB-83BD1BA7DA67}"/>
    <hyperlink ref="A61" r:id="rId61" display="https://fantasy.nfl.com/players/card?leagueId=0&amp;playerId=2570335" xr:uid="{570A50CD-FB19-4033-986E-3C9DE7DF04E4}"/>
    <hyperlink ref="A62" r:id="rId62" display="https://fantasy.nfl.com/players/card?leagueId=0&amp;playerId=2566157" xr:uid="{303E4CB4-4E4E-4D28-B278-52982581BFC2}"/>
    <hyperlink ref="A63" r:id="rId63" display="https://fantasy.nfl.com/players/card?leagueId=0&amp;playerId=2569257" xr:uid="{73A669DB-D0BD-49BF-B650-6D3A682C1065}"/>
    <hyperlink ref="A64" r:id="rId64" display="https://fantasy.nfl.com/players/card?leagueId=0&amp;playerId=2566049" xr:uid="{AF49756B-E9EC-4626-A139-860AE1F2EA42}"/>
    <hyperlink ref="A65" r:id="rId65" display="https://fantasy.nfl.com/players/card?leagueId=0&amp;playerId=2574068" xr:uid="{A93B9774-F57C-4034-A37D-73D4441B0D33}"/>
    <hyperlink ref="A66" r:id="rId66" display="https://fantasy.nfl.com/players/card?leagueId=0&amp;playerId=2572405" xr:uid="{27AC2B23-CA4A-4698-8E56-464E42F2F673}"/>
    <hyperlink ref="A67" r:id="rId67" display="https://fantasy.nfl.com/players/card?leagueId=0&amp;playerId=2557976" xr:uid="{C8A4F00E-7D8C-45A5-B18D-33B691D24E17}"/>
    <hyperlink ref="A68" r:id="rId68" display="https://fantasy.nfl.com/players/card?leagueId=0&amp;playerId=2566343" xr:uid="{9857CBD6-C409-4BA8-9BEE-1C7981F60B26}"/>
    <hyperlink ref="A69" r:id="rId69" display="https://fantasy.nfl.com/players/card?leagueId=0&amp;playerId=2574608" xr:uid="{113FA8FB-0A24-48E2-ACF2-5F8E98CDC9EF}"/>
    <hyperlink ref="A71" r:id="rId70" display="https://fantasy.nfl.com/players/card?leagueId=0&amp;playerId=2571862" xr:uid="{1557052F-3E17-4171-BCCB-B29D997477FC}"/>
    <hyperlink ref="A72" r:id="rId71" display="https://fantasy.nfl.com/players/card?leagueId=0&amp;playerId=2561021" xr:uid="{D9AD8D1F-30C0-4835-8711-C0EDD24568F3}"/>
    <hyperlink ref="A73" r:id="rId72" display="https://fantasy.nfl.com/players/card?leagueId=0&amp;playerId=2567469" xr:uid="{9D96CD24-4202-4D1F-9958-6283212E972E}"/>
    <hyperlink ref="A74" r:id="rId73" display="https://fantasy.nfl.com/players/card?leagueId=0&amp;playerId=2567232" xr:uid="{6A0BDA7A-5A2C-4DA2-9DC2-B7AE42053767}"/>
    <hyperlink ref="A75" r:id="rId74" display="https://fantasy.nfl.com/players/card?leagueId=0&amp;playerId=2574427" xr:uid="{4C45CBFD-6B0F-438A-B564-E7C2CEFD8B33}"/>
    <hyperlink ref="A76" r:id="rId75" display="https://fantasy.nfl.com/players/card?leagueId=0&amp;playerId=2574053" xr:uid="{CA721875-00AC-4FFA-8D53-DE1D24DBC104}"/>
    <hyperlink ref="A77" r:id="rId76" display="https://fantasy.nfl.com/players/card?leagueId=0&amp;playerId=2565295" xr:uid="{963D8AE9-F6DC-4247-85F9-541D404BC9BF}"/>
    <hyperlink ref="A78" r:id="rId77" display="https://fantasy.nfl.com/players/card?leagueId=0&amp;playerId=2568315" xr:uid="{420B9347-1463-403C-9B36-57E969039BA5}"/>
    <hyperlink ref="A79" r:id="rId78" display="https://fantasy.nfl.com/players/card?leagueId=0&amp;playerId=2574235" xr:uid="{585773ED-5FC1-4E5F-9375-124DC4514072}"/>
    <hyperlink ref="A82" r:id="rId79" display="https://fantasy.nfl.com/players/card?leagueId=0&amp;playerId=2565941" xr:uid="{46627C65-03B9-47B4-A569-D7BBA0D492B6}"/>
    <hyperlink ref="A83" r:id="rId80" display="https://fantasy.nfl.com/players/card?leagueId=0&amp;playerId=2563848" xr:uid="{2073F165-0A3F-4BDB-8FCF-F26F4BF1A0FD}"/>
    <hyperlink ref="A84" r:id="rId81" display="https://fantasy.nfl.com/players/card?leagueId=0&amp;playerId=2564556" xr:uid="{9760FEC1-C2AD-4832-A677-AA35241ACF68}"/>
    <hyperlink ref="A85" r:id="rId82" display="https://fantasy.nfl.com/players/card?leagueId=0&amp;playerId=2572342" xr:uid="{54B16E78-B311-4A9A-8EEB-9AC814BA122A}"/>
    <hyperlink ref="A86" r:id="rId83" display="https://fantasy.nfl.com/players/card?leagueId=0&amp;playerId=2572162" xr:uid="{82F42873-3618-4F1C-9CF6-2AE525F3A618}"/>
    <hyperlink ref="A87" r:id="rId84" display="https://fantasy.nfl.com/players/card?leagueId=0&amp;playerId=2570026" xr:uid="{D8A6DDFF-E517-4A83-A43F-ECD088C0C10B}"/>
    <hyperlink ref="A88" r:id="rId85" display="https://fantasy.nfl.com/players/card?leagueId=0&amp;playerId=2566127" xr:uid="{08EACDB8-33FC-4DC8-8CE8-DA1E369EAC23}"/>
    <hyperlink ref="A89" r:id="rId86" display="https://fantasy.nfl.com/players/card?leagueId=0&amp;playerId=2566073" xr:uid="{0FCC0384-B2F2-4FCE-841F-21A5FA10B3F7}"/>
    <hyperlink ref="A91" r:id="rId87" display="https://fantasy.nfl.com/players/card?leagueId=0&amp;playerId=2556214" xr:uid="{231E54B5-9858-4842-89E3-A8FC6E8E9800}"/>
    <hyperlink ref="A92" r:id="rId88" display="https://fantasy.nfl.com/players/card?leagueId=0&amp;playerId=2562238" xr:uid="{C13FB17E-D832-4FD4-BAD9-6E1F6F49A0F8}"/>
    <hyperlink ref="A93" r:id="rId89" display="https://fantasy.nfl.com/players/card?leagueId=0&amp;playerId=2572477" xr:uid="{87FC3CA0-CF48-4FC3-8EB6-98874E2E219D}"/>
    <hyperlink ref="A94" r:id="rId90" display="https://fantasy.nfl.com/players/card?leagueId=0&amp;playerId=2568048" xr:uid="{12EE62F3-86B4-4294-9010-9CBC9CA43EC2}"/>
    <hyperlink ref="A95" r:id="rId91" display="https://fantasy.nfl.com/players/card?leagueId=0&amp;playerId=2562685" xr:uid="{E8EDB571-E020-43DB-BE67-4E7BA2AE9AF6}"/>
    <hyperlink ref="A96" r:id="rId92" display="https://fantasy.nfl.com/players/card?leagueId=0&amp;playerId=2563731" xr:uid="{6AEC6206-35DA-4E1E-8461-9833423E2A18}"/>
    <hyperlink ref="A98" r:id="rId93" display="https://fantasy.nfl.com/players/card?leagueId=0&amp;playerId=2543495" xr:uid="{49D58305-43EA-42FC-9C1E-763F3F04F8DF}"/>
    <hyperlink ref="A99" r:id="rId94" display="https://fantasy.nfl.com/players/card?leagueId=0&amp;playerId=2562489" xr:uid="{716D1949-96B7-4C44-A93B-E53B7695B1C9}"/>
    <hyperlink ref="A100" r:id="rId95" display="https://fantasy.nfl.com/players/card?leagueId=0&amp;playerId=2543468" xr:uid="{C1101F8C-D038-441E-AF5A-64E44C3820E6}"/>
    <hyperlink ref="A101" r:id="rId96" display="https://fantasy.nfl.com/players/card?leagueId=0&amp;playerId=2573992" xr:uid="{4D82E2F4-DB21-4966-B4A1-872B7FD1628B}"/>
    <hyperlink ref="A102" r:id="rId97" display="https://fantasy.nfl.com/players/card?leagueId=0&amp;playerId=2570341" xr:uid="{85F7FAD3-D9CB-43C7-91A1-B4FC473311A8}"/>
    <hyperlink ref="A103" r:id="rId98" display="https://fantasy.nfl.com/players/card?leagueId=0&amp;playerId=2567565" xr:uid="{E154F993-32E9-439F-B6CE-76F4F3A85C60}"/>
    <hyperlink ref="A104" r:id="rId99" display="https://fantasy.nfl.com/players/card?leagueId=0&amp;playerId=2560813" xr:uid="{B3ABA1B9-20A9-4DD8-9B6B-AC40DAF6CA54}"/>
    <hyperlink ref="A105" r:id="rId100" display="https://fantasy.nfl.com/players/card?leagueId=0&amp;playerId=2560888" xr:uid="{39AACD2A-2AFA-4380-B234-974C5B62D4B6}"/>
    <hyperlink ref="A106" r:id="rId101" display="https://fantasy.nfl.com/players/card?leagueId=0&amp;playerId=2568159" xr:uid="{12510218-9C58-436F-B54D-6CB518DA1A86}"/>
    <hyperlink ref="A107" r:id="rId102" display="https://fantasy.nfl.com/players/card?leagueId=0&amp;playerId=2563896" xr:uid="{B29F414B-5C07-482D-AA68-EA76D58EE802}"/>
    <hyperlink ref="A108" r:id="rId103" display="https://fantasy.nfl.com/players/card?leagueId=0&amp;playerId=2560854" xr:uid="{C06865F5-EDCE-4025-95EF-7400ED29D4C2}"/>
    <hyperlink ref="A109" r:id="rId104" display="https://fantasy.nfl.com/players/card?leagueId=0&amp;playerId=2566409" xr:uid="{C6B10D68-63F9-4047-9414-CCE17D21CF26}"/>
    <hyperlink ref="A110" r:id="rId105" display="https://fantasy.nfl.com/players/card?leagueId=0&amp;playerId=2566292" xr:uid="{9E2F5CB5-DF4E-47EA-968B-FC529A76CE07}"/>
    <hyperlink ref="A111" r:id="rId106" display="https://fantasy.nfl.com/players/card?leagueId=0&amp;playerId=2572186" xr:uid="{249ECA83-4BFF-4A99-BD03-665DB263BC22}"/>
    <hyperlink ref="A112" r:id="rId107" display="https://fantasy.nfl.com/players/card?leagueId=0&amp;playerId=2567973" xr:uid="{8457D1E4-E9D1-4079-B4A1-D0647066543D}"/>
    <hyperlink ref="A113" r:id="rId108" display="https://fantasy.nfl.com/players/card?leagueId=0&amp;playerId=2562721" xr:uid="{D41449F7-89D0-4318-ACB2-8FBC8941ACBD}"/>
    <hyperlink ref="A114" r:id="rId109" display="https://fantasy.nfl.com/players/card?leagueId=0&amp;playerId=2574130" xr:uid="{8F457533-90C1-486C-A952-40D1819BA1FE}"/>
    <hyperlink ref="A115" r:id="rId110" display="https://fantasy.nfl.com/players/card?leagueId=0&amp;playerId=2569921" xr:uid="{FF3DBAAC-1D37-45E8-893A-96117DC95E44}"/>
    <hyperlink ref="A116" r:id="rId111" display="https://fantasy.nfl.com/players/card?leagueId=0&amp;playerId=2574217" xr:uid="{406D80CB-7C54-4414-8322-8D120079A4EA}"/>
    <hyperlink ref="A117" r:id="rId112" display="https://fantasy.nfl.com/players/card?leagueId=0&amp;playerId=2569573" xr:uid="{64AE7955-9C22-476D-B831-240DA4D1BF2C}"/>
    <hyperlink ref="A118" r:id="rId113" display="https://fantasy.nfl.com/players/card?leagueId=0&amp;playerId=2574585" xr:uid="{115996DA-8850-42C2-8C47-817FA615EE0E}"/>
    <hyperlink ref="A120" r:id="rId114" display="https://fantasy.nfl.com/players/card?leagueId=0&amp;playerId=2572507" xr:uid="{BE9B6F98-4D61-464C-888B-B6A637C687D2}"/>
    <hyperlink ref="A121" r:id="rId115" display="https://fantasy.nfl.com/players/card?leagueId=0&amp;playerId=2552608" xr:uid="{615D9BAE-84C9-488A-9B94-226F2FB30D4C}"/>
    <hyperlink ref="A122" r:id="rId116" display="https://fantasy.nfl.com/players/card?leagueId=0&amp;playerId=2562492" xr:uid="{9EEE11D5-5E5C-489E-BBE3-18BCFB70BF0D}"/>
    <hyperlink ref="A123" r:id="rId117" display="https://fantasy.nfl.com/players/card?leagueId=0&amp;playerId=2570074" xr:uid="{14A3D91E-5785-4103-A4B8-B664399E7319}"/>
    <hyperlink ref="A124" r:id="rId118" display="https://fantasy.nfl.com/players/card?leagueId=0&amp;playerId=2569110" xr:uid="{F805DF87-A59F-4E62-8DAD-6FFCCDEBC223}"/>
    <hyperlink ref="A125" r:id="rId119" display="https://fantasy.nfl.com/players/card?leagueId=0&amp;playerId=2567334" xr:uid="{A10792CE-5475-45CE-BCB0-3CB83011D5AC}"/>
    <hyperlink ref="A126" r:id="rId120" display="https://fantasy.nfl.com/players/card?leagueId=0&amp;playerId=2564136" xr:uid="{0BE704EC-22E4-4BF3-A97F-31BE31579965}"/>
    <hyperlink ref="A127" r:id="rId121" display="https://fantasy.nfl.com/players/card?leagueId=0&amp;playerId=2557898" xr:uid="{3097891F-2830-499A-A51B-4D8AD7302C93}"/>
    <hyperlink ref="A128" r:id="rId122" display="https://fantasy.nfl.com/players/card?leagueId=0&amp;playerId=2558105" xr:uid="{83A190A4-6004-4455-B8F4-99EBC27BF453}"/>
    <hyperlink ref="A129" r:id="rId123" display="https://fantasy.nfl.com/players/card?leagueId=0&amp;playerId=2569861" xr:uid="{19142A18-653E-41DF-92F9-977CB13AA38A}"/>
    <hyperlink ref="A130" r:id="rId124" display="https://fantasy.nfl.com/players/card?leagueId=0&amp;playerId=2569717" xr:uid="{3707C22A-3E0B-45D3-A8A2-A557C6E70E3C}"/>
    <hyperlink ref="A131" r:id="rId125" display="https://fantasy.nfl.com/players/card?leagueId=0&amp;playerId=2565114" xr:uid="{2698822D-5C6A-4ADB-8080-8F952D1AF16C}"/>
    <hyperlink ref="A133" r:id="rId126" display="https://fantasy.nfl.com/research/projections?position=4&amp;sort=name&amp;statCategory=projectedStats&amp;statSeason=2025&amp;statType=seasonProjectedStats&amp;statWeek=16" xr:uid="{1789717F-98CA-4EBC-B214-BCA71623BA31}"/>
    <hyperlink ref="B133" r:id="rId127" display="https://fantasy.nfl.com/research/projections?position=4&amp;sort=5&amp;statCategory=projectedStats&amp;statSeason=2025&amp;statType=seasonProjectedStats&amp;statWeek=16" xr:uid="{F5AB80D2-69AA-44E1-84DB-E01F4DAB6F4A}"/>
    <hyperlink ref="C133" r:id="rId128" display="https://fantasy.nfl.com/research/projections?position=4&amp;sort=6&amp;statCategory=projectedStats&amp;statSeason=2025&amp;statType=seasonProjectedStats&amp;statWeek=16" xr:uid="{A738F761-B009-4BC5-968D-0C00EDE14237}"/>
    <hyperlink ref="D133" r:id="rId129" display="https://fantasy.nfl.com/research/projections?position=4&amp;sort=7&amp;statCategory=projectedStats&amp;statSeason=2025&amp;statType=seasonProjectedStats&amp;statWeek=16" xr:uid="{E61D9E5D-9B67-49E0-932B-001E4E26E48D}"/>
    <hyperlink ref="E133" r:id="rId130" display="https://fantasy.nfl.com/research/projections?position=4&amp;sort=14&amp;statCategory=projectedStats&amp;statSeason=2025&amp;statType=seasonProjectedStats&amp;statWeek=16" xr:uid="{B99B8A5E-55EE-4BCD-AF96-BAF9608631D5}"/>
    <hyperlink ref="F133" r:id="rId131" display="https://fantasy.nfl.com/research/projections?position=4&amp;sort=15&amp;statCategory=projectedStats&amp;statSeason=2025&amp;statType=seasonProjectedStats&amp;statWeek=16" xr:uid="{B5536B82-E27A-4EBB-93FB-8DD60C5A7DFE}"/>
    <hyperlink ref="G133" r:id="rId132" display="https://fantasy.nfl.com/research/projections?position=4&amp;sort=20&amp;statCategory=projectedStats&amp;statSeason=2025&amp;statType=seasonProjectedStats&amp;statWeek=16" xr:uid="{DD663B78-E710-46C0-A258-96214726C0BE}"/>
    <hyperlink ref="H133" r:id="rId133" display="https://fantasy.nfl.com/research/projections?position=4&amp;sort=21&amp;statCategory=projectedStats&amp;statSeason=2025&amp;statType=seasonProjectedStats&amp;statWeek=16" xr:uid="{8EE2117F-B0B2-457E-9337-CDE64F643F5D}"/>
    <hyperlink ref="I133" r:id="rId134" display="https://fantasy.nfl.com/research/projections?position=4&amp;sort=22&amp;statCategory=projectedStats&amp;statSeason=2025&amp;statType=seasonProjectedStats&amp;statWeek=16" xr:uid="{78D12A36-88C9-4D24-9482-745AA5B37AA4}"/>
    <hyperlink ref="J133" r:id="rId135" display="https://fantasy.nfl.com/research/projections?position=4&amp;sort=28&amp;statCategory=projectedStats&amp;statSeason=2025&amp;statType=seasonProjectedStats&amp;statWeek=16" xr:uid="{A7828B7B-3413-42AB-B186-B064F977BD62}"/>
    <hyperlink ref="K133" r:id="rId136" display="https://fantasy.nfl.com/research/projections?position=4&amp;sort=29&amp;statCategory=projectedStats&amp;statSeason=2025&amp;statType=seasonProjectedStats&amp;statWeek=16" xr:uid="{3609CF12-FFC3-4E20-B145-025288DA59B9}"/>
    <hyperlink ref="L133" r:id="rId137" display="https://fantasy.nfl.com/research/projections?position=4&amp;sort=32&amp;statCategory=projectedStats&amp;statSeason=2025&amp;statType=seasonProjectedStats&amp;statWeek=16" xr:uid="{C78F3DFA-2037-4158-B535-E546BC6527E3}"/>
    <hyperlink ref="M133" r:id="rId138" display="https://fantasy.nfl.com/research/projections?position=4&amp;sort=30&amp;statCategory=projectedStats&amp;statSeason=2025&amp;statType=seasonProjectedStats&amp;statWeek=16" xr:uid="{2D797E3D-C47A-4813-A0DB-D5C2BFE73B0A}"/>
    <hyperlink ref="N133" r:id="rId139" display="https://fantasy.nfl.com/research/projections?position=4&amp;sort=projectedPts&amp;statCategory=projectedStats&amp;statSeason=2025&amp;statType=seasonProjectedStats&amp;statWeek=16" xr:uid="{4F9CD86F-E8FB-46F7-AA7C-82D7850A9C71}"/>
    <hyperlink ref="A134" r:id="rId140" display="https://fantasy.nfl.com/players/card?leagueId=0&amp;playerId=2572219" xr:uid="{10743262-8C21-464B-BD7A-0CCFBE646664}"/>
    <hyperlink ref="A135" r:id="rId141" display="https://fantasy.nfl.com/players/card?leagueId=0&amp;playerId=2568117" xr:uid="{A3A96551-1613-4F52-8748-5DF4B073F0A1}"/>
    <hyperlink ref="A136" r:id="rId142" display="https://fantasy.nfl.com/players/card?leagueId=0&amp;playerId=2558266" xr:uid="{1EB82A28-8E16-4607-8428-3774187284B6}"/>
    <hyperlink ref="A137" r:id="rId143" display="https://fantasy.nfl.com/players/card?leagueId=0&amp;playerId=2569726" xr:uid="{C33052AE-02A4-4F18-B2FB-79A920A0A547}"/>
    <hyperlink ref="A138" r:id="rId144" display="https://fantasy.nfl.com/players/card?leagueId=0&amp;playerId=2562378" xr:uid="{E784934D-731A-4682-9C14-6EB6D72A26FF}"/>
    <hyperlink ref="A139" r:id="rId145" display="https://fantasy.nfl.com/players/card?leagueId=0&amp;playerId=2540258" xr:uid="{4CA9461E-66E2-4C12-B3F2-E509277233F8}"/>
    <hyperlink ref="A140" r:id="rId146" display="https://fantasy.nfl.com/players/card?leagueId=0&amp;playerId=2557858" xr:uid="{C6CEC3FA-4604-42F6-B3BC-8A825557C10A}"/>
    <hyperlink ref="A141" r:id="rId147" display="https://fantasy.nfl.com/players/card?leagueId=0&amp;playerId=2560957" xr:uid="{37F24537-8951-400A-9897-E7EDA72B2B50}"/>
    <hyperlink ref="A143" r:id="rId148" display="https://fantasy.nfl.com/players/card?leagueId=0&amp;playerId=2569768" xr:uid="{95A89F79-CB2C-4836-8AEA-E289B6B41604}"/>
    <hyperlink ref="A144" r:id="rId149" display="https://fantasy.nfl.com/players/card?leagueId=0&amp;playerId=2574204" xr:uid="{6B0FC7C5-A3BF-4F5B-A59B-DF681F6030E0}"/>
    <hyperlink ref="A145" r:id="rId150" display="https://fantasy.nfl.com/players/card?leagueId=0&amp;playerId=2560995" xr:uid="{57FFB99E-9752-4D76-B599-F8D8618546EE}"/>
    <hyperlink ref="A146" r:id="rId151" display="https://fantasy.nfl.com/players/card?leagueId=0&amp;playerId=2574014" xr:uid="{158BBF29-19A6-4273-A886-7C1A660428A9}"/>
    <hyperlink ref="A147" r:id="rId152" display="https://fantasy.nfl.com/players/card?leagueId=0&amp;playerId=2567496" xr:uid="{6594E064-759D-4C65-973B-83EEFF4B36D9}"/>
    <hyperlink ref="A148" r:id="rId153" display="https://fantasy.nfl.com/players/card?leagueId=0&amp;playerId=2569594" xr:uid="{304E847A-7848-4930-95B2-0046CC3E685C}"/>
    <hyperlink ref="A149" r:id="rId154" display="https://fantasy.nfl.com/players/card?leagueId=0&amp;playerId=2567658" xr:uid="{C2919C59-D91B-4ACD-BA26-A8FFFA79460B}"/>
    <hyperlink ref="A150" r:id="rId155" display="https://fantasy.nfl.com/players/card?leagueId=0&amp;playerId=2565830" xr:uid="{B0651E2B-A8C3-4270-AE96-E165EC7364FA}"/>
    <hyperlink ref="A151" r:id="rId156" display="https://fantasy.nfl.com/players/card?leagueId=0&amp;playerId=2555341" xr:uid="{7D8DADAC-EC06-45E6-A974-21BC81FC6908}"/>
    <hyperlink ref="A152" r:id="rId157" display="https://fantasy.nfl.com/players/card?leagueId=0&amp;playerId=2558207" xr:uid="{1E968EEF-D61B-4F34-BCCA-C830506AD9EA}"/>
    <hyperlink ref="A153" r:id="rId158" display="https://fantasy.nfl.com/players/card?leagueId=0&amp;playerId=2560994" xr:uid="{6B420E54-DE95-4C89-AD4F-0123F7A8F9C8}"/>
    <hyperlink ref="A154" r:id="rId159" display="https://fantasy.nfl.com/players/card?leagueId=0&amp;playerId=2574451" xr:uid="{E2E0B42B-90C1-44B7-BE70-191D3CE8449E}"/>
    <hyperlink ref="A155" r:id="rId160" display="https://fantasy.nfl.com/players/card?leagueId=0&amp;playerId=2540158" xr:uid="{A3C541DB-6335-4041-B2A5-CECEA3BF5090}"/>
    <hyperlink ref="A156" r:id="rId161" display="https://fantasy.nfl.com/players/card?leagueId=0&amp;playerId=2569912" xr:uid="{38F9A19C-6899-43AF-BDB7-0CC82C8808EC}"/>
    <hyperlink ref="A157" r:id="rId162" display="https://fantasy.nfl.com/players/card?leagueId=0&amp;playerId=2571892" xr:uid="{30653EB8-4493-4611-BAE7-C4C7E4317DE9}"/>
    <hyperlink ref="A158" r:id="rId163" display="https://fantasy.nfl.com/players/card?leagueId=0&amp;playerId=2564676" xr:uid="{A99BC09F-591D-4782-AC53-4A22C6E2BA84}"/>
    <hyperlink ref="A161" r:id="rId164" display="https://fantasy.nfl.com/players/card?leagueId=0&amp;playerId=2571750" xr:uid="{15A05520-453F-45C3-983C-0F0C455BFA4A}"/>
    <hyperlink ref="A162" r:id="rId165" display="https://fantasy.nfl.com/players/card?leagueId=0&amp;playerId=2568435" xr:uid="{277A0C29-C24B-4625-B95D-F39746B1FEF3}"/>
    <hyperlink ref="A163" r:id="rId166" display="https://fantasy.nfl.com/players/card?leagueId=0&amp;playerId=2571759" xr:uid="{29F684E0-69BA-4B25-8123-455CE4A9E5C8}"/>
    <hyperlink ref="A164" r:id="rId167" display="https://fantasy.nfl.com/players/card?leagueId=0&amp;playerId=2558245" xr:uid="{18614528-197F-4256-94B5-0F934DB079B8}"/>
    <hyperlink ref="A165" r:id="rId168" display="https://fantasy.nfl.com/players/card?leagueId=0&amp;playerId=2556521" xr:uid="{240CF843-800A-4557-94DD-109EC0214E15}"/>
    <hyperlink ref="A166" r:id="rId169" display="https://fantasy.nfl.com/players/card?leagueId=0&amp;playerId=2563203" xr:uid="{99AE1E7A-3D09-4E99-9A9B-0B851A3CE0EC}"/>
    <hyperlink ref="A167" r:id="rId170" display="https://fantasy.nfl.com/players/card?leagueId=0&amp;playerId=2550545" xr:uid="{C15629C3-2C75-4884-B716-192F69631C40}"/>
    <hyperlink ref="A168" r:id="rId171" display="https://fantasy.nfl.com/players/card?leagueId=0&amp;playerId=2560993" xr:uid="{E4BBC635-0046-485E-8472-B8758A6F68B1}"/>
    <hyperlink ref="A169" r:id="rId172" display="https://fantasy.nfl.com/players/card?leagueId=0&amp;playerId=2562271" xr:uid="{FEB3F59C-207E-4F00-84D9-2ABADCC9FFCB}"/>
    <hyperlink ref="A170" r:id="rId173" display="https://fantasy.nfl.com/players/card?leagueId=0&amp;playerId=2563596" xr:uid="{AC130C51-C233-4D6E-BCE0-24E73C768703}"/>
    <hyperlink ref="A171" r:id="rId174" display="https://fantasy.nfl.com/players/card?leagueId=0&amp;playerId=2565953" xr:uid="{DBF9461D-95D7-4228-8108-ACA1D5AF3C41}"/>
    <hyperlink ref="A172" r:id="rId175" display="https://fantasy.nfl.com/players/card?leagueId=0&amp;playerId=2572273" xr:uid="{FA0DB9B6-1EA0-4481-8F3B-F3824B2EA170}"/>
    <hyperlink ref="A173" r:id="rId176" display="https://fantasy.nfl.com/players/card?leagueId=0&amp;playerId=2556601" xr:uid="{97E9F47E-7339-41C8-8E0E-19308F64EAAD}"/>
    <hyperlink ref="A174" r:id="rId177" display="https://fantasy.nfl.com/players/card?leagueId=0&amp;playerId=2558172" xr:uid="{37A5AAE2-8442-435A-8853-A274EA6F36C4}"/>
    <hyperlink ref="A175" r:id="rId178" display="https://fantasy.nfl.com/players/card?leagueId=0&amp;playerId=2573940" xr:uid="{ADA46F78-5909-4A49-A7FF-6E06F8A00B75}"/>
    <hyperlink ref="A176" r:id="rId179" display="https://fantasy.nfl.com/players/card?leagueId=0&amp;playerId=2541556" xr:uid="{63129F4D-DE72-4135-8C79-0157D5F1CA52}"/>
    <hyperlink ref="A177" r:id="rId180" display="https://fantasy.nfl.com/players/card?leagueId=0&amp;playerId=2570308" xr:uid="{00B2F416-67B4-4EA3-A68E-6C1020420226}"/>
    <hyperlink ref="A179" r:id="rId181" display="https://fantasy.nfl.com/players/card?leagueId=0&amp;playerId=2572201" xr:uid="{19CE020E-FD67-4B50-AB82-30B32387A640}"/>
    <hyperlink ref="A180" r:id="rId182" display="https://fantasy.nfl.com/players/card?leagueId=0&amp;playerId=2572147" xr:uid="{56399233-5D13-4301-A99B-2AE76F27CC27}"/>
    <hyperlink ref="A181" r:id="rId183" display="https://fantasy.nfl.com/players/card?leagueId=0&amp;playerId=2570125" xr:uid="{A5E760A6-9EAE-4356-9C60-B30B82174ED1}"/>
    <hyperlink ref="A182" r:id="rId184" display="https://fantasy.nfl.com/players/card?leagueId=0&amp;playerId=2550636" xr:uid="{20560EE7-542C-4577-A934-CB3C9A929FA0}"/>
    <hyperlink ref="A183" r:id="rId185" display="https://fantasy.nfl.com/players/card?leagueId=0&amp;playerId=2553112" xr:uid="{2D227453-56BA-4F6F-ADDA-A14303EE8145}"/>
    <hyperlink ref="A184" r:id="rId186" display="https://fantasy.nfl.com/players/card?leagueId=0&amp;playerId=2571234" xr:uid="{1B89866B-272A-4158-B4A9-6AEE289DC593}"/>
    <hyperlink ref="A185" r:id="rId187" display="https://fantasy.nfl.com/players/card?leagueId=0&amp;playerId=2507225" xr:uid="{BCE7D917-DDC9-462A-84B7-1C45E4E49511}"/>
    <hyperlink ref="A189" r:id="rId188" display="https://fantasy.nfl.com/players/card?leagueId=0&amp;playerId=100009" xr:uid="{AD4AE9E0-ED20-40DA-AEE9-62AAC0E6B4D0}"/>
    <hyperlink ref="A190" r:id="rId189" display="https://fantasy.nfl.com/players/card?leagueId=0&amp;playerId=100013" xr:uid="{99578B2A-4874-42FF-B164-EB09CBF99324}"/>
    <hyperlink ref="A191" r:id="rId190" display="https://fantasy.nfl.com/players/card?leagueId=0&amp;playerId=100002" xr:uid="{163FA7D3-7A55-4FD4-A2D9-8C6792557381}"/>
    <hyperlink ref="A192" r:id="rId191" display="https://fantasy.nfl.com/players/card?leagueId=0&amp;playerId=100020" xr:uid="{0E58C9AA-17F0-4B06-9CB3-7773CDF3EA6E}"/>
    <hyperlink ref="A193" r:id="rId192" display="https://fantasy.nfl.com/players/card?leagueId=0&amp;playerId=100027" xr:uid="{03E9C3F0-C898-4056-93AB-189A53EE6C28}"/>
    <hyperlink ref="A194" r:id="rId193" display="https://fantasy.nfl.com/players/card?leagueId=0&amp;playerId=100016" xr:uid="{6AD25AD5-78B8-4A73-A011-4E2C2F6502ED}"/>
    <hyperlink ref="A196" r:id="rId194" display="https://fantasy.nfl.com/players/card?leagueId=0&amp;playerId=100010" xr:uid="{F2FA2C07-0723-493E-BA2F-7686BFF72204}"/>
    <hyperlink ref="A199" r:id="rId195" display="https://fantasy.nfl.com/players/card?leagueId=0&amp;playerId=100019" xr:uid="{3B122083-596F-4D6A-8DD9-487B0310B6A5}"/>
    <hyperlink ref="A200" r:id="rId196" display="https://fantasy.nfl.com/players/card?leagueId=0&amp;playerId=100029" xr:uid="{94BA5432-0138-4BE3-912A-E0CB755F211D}"/>
    <hyperlink ref="A204" r:id="rId197" display="https://fantasy.nfl.com/players/card?leagueId=0&amp;playerId=100031" xr:uid="{36ACAA0F-B8CA-49F1-A85C-07778F0BBCDE}"/>
    <hyperlink ref="A206" r:id="rId198" display="https://fantasy.nfl.com/players/card?leagueId=0&amp;playerId=100026" xr:uid="{CCD98E1B-8790-4044-AB41-FF004C144A53}"/>
    <hyperlink ref="A208" r:id="rId199" display="https://fantasy.nfl.com/players/card?leagueId=0&amp;playerId=100006" xr:uid="{97D969CE-09F7-405A-B856-81FFED475A7C}"/>
    <hyperlink ref="A209" r:id="rId200" display="https://fantasy.nfl.com/players/card?leagueId=0&amp;playerId=100023" xr:uid="{C1E63C96-21C9-43EE-913F-471534D928EB}"/>
    <hyperlink ref="A210" r:id="rId201" display="https://fantasy.nfl.com/players/card?leagueId=0&amp;playerId=100024" xr:uid="{4814F645-3006-456A-9ACB-8D7DE6FE53A4}"/>
    <hyperlink ref="A212" r:id="rId202" display="https://fantasy.nfl.com/players/card?leagueId=0&amp;playerId=100014" xr:uid="{7DBFE057-5B32-4C3C-8C22-92120F0DD465}"/>
    <hyperlink ref="H160" r:id="rId203" display="https://fantasy.nfl.com/research/projections?position=7&amp;sort=projectedPts&amp;statCategory=projectedStats&amp;statSeason=2025&amp;statType=seasonProjectedStats&amp;statWeek=16" xr:uid="{0EB2A96D-D2AB-4B99-A58B-093CB923EF5A}"/>
    <hyperlink ref="G160" r:id="rId204" display="https://fantasy.nfl.com/research/projections?position=7&amp;sort=39&amp;statCategory=projectedStats&amp;statSeason=2025&amp;statType=seasonProjectedStats&amp;statWeek=16" xr:uid="{E36E01A8-4FF8-4719-8A35-C7AA39F558A3}"/>
    <hyperlink ref="F160" r:id="rId205" display="https://fantasy.nfl.com/research/projections?position=7&amp;sort=38&amp;statCategory=projectedStats&amp;statSeason=2025&amp;statType=seasonProjectedStats&amp;statWeek=16" xr:uid="{8E79C7AA-13F4-49E9-8E68-60110AA8B0C7}"/>
    <hyperlink ref="E160" r:id="rId206" display="https://fantasy.nfl.com/research/projections?position=7&amp;sort=37&amp;statCategory=projectedStats&amp;statSeason=2025&amp;statType=seasonProjectedStats&amp;statWeek=16" xr:uid="{7F161161-7F94-45B3-B58A-2F5D2C1ED762}"/>
    <hyperlink ref="D160" r:id="rId207" display="https://fantasy.nfl.com/research/projections?position=7&amp;sort=36&amp;statCategory=projectedStats&amp;statSeason=2025&amp;statType=seasonProjectedStats&amp;statWeek=16" xr:uid="{431832F9-308A-4BCF-8835-9296BD05EA14}"/>
    <hyperlink ref="C160" r:id="rId208" display="https://fantasy.nfl.com/research/projections?position=7&amp;sort=35&amp;statCategory=projectedStats&amp;statSeason=2025&amp;statType=seasonProjectedStats&amp;statWeek=16" xr:uid="{2AA45B8D-EA04-46CA-97E1-EE1FCA2D1E3F}"/>
    <hyperlink ref="B160" r:id="rId209" display="https://fantasy.nfl.com/research/projections?position=7&amp;sort=33&amp;statCategory=projectedStats&amp;statSeason=2025&amp;statType=seasonProjectedStats&amp;statWeek=16" xr:uid="{B741BE0D-1E88-4432-93C0-6606747C0CBC}"/>
    <hyperlink ref="A160" r:id="rId210" display="https://fantasy.nfl.com/research/projections?position=7&amp;sort=name&amp;statCategory=projectedStats&amp;statSeason=2025&amp;statType=seasonProjectedStats&amp;statWeek=16" xr:uid="{BEA0627D-55A4-4CF7-8BD4-B84B8DC23FFB}"/>
    <hyperlink ref="J187" r:id="rId211" display="https://fantasy.nfl.com/research/projections?position=8&amp;sort=projectedPts&amp;statCategory=projectedStats&amp;statSeason=2025&amp;statType=seasonProjectedStats&amp;statWeek=16" xr:uid="{AA19E289-43C4-48A4-A484-32E99795E5E6}"/>
    <hyperlink ref="I187" r:id="rId212" display="https://fantasy.nfl.com/research/projections?position=8&amp;sort=54&amp;statCategory=projectedStats&amp;statSeason=2025&amp;statType=seasonProjectedStats&amp;statWeek=16" xr:uid="{FAA18E78-EDF5-4DDD-A9B8-3F61DC1B815E}"/>
    <hyperlink ref="H187" r:id="rId213" display="https://fantasy.nfl.com/research/projections?position=8&amp;sort=53&amp;statCategory=projectedStats&amp;statSeason=2025&amp;statType=seasonProjectedStats&amp;statWeek=16" xr:uid="{4C80D70F-8062-4557-BAF1-6B6DBB199F56}"/>
    <hyperlink ref="G187" r:id="rId214" display="https://fantasy.nfl.com/research/projections?position=8&amp;sort=93&amp;statCategory=projectedStats&amp;statSeason=2025&amp;statType=seasonProjectedStats&amp;statWeek=16" xr:uid="{A31C2A48-CADD-42E0-B7A6-4F962EAFBDDB}"/>
    <hyperlink ref="F187" r:id="rId215" display="https://fantasy.nfl.com/research/projections?position=8&amp;sort=50&amp;statCategory=projectedStats&amp;statSeason=2025&amp;statType=seasonProjectedStats&amp;statWeek=16" xr:uid="{E6F1F48B-B8F1-40E1-9981-C516FCCA52FB}"/>
    <hyperlink ref="E187" r:id="rId216" display="https://fantasy.nfl.com/research/projections?position=8&amp;sort=49&amp;statCategory=projectedStats&amp;statSeason=2025&amp;statType=seasonProjectedStats&amp;statWeek=16" xr:uid="{6AB4DF8B-F238-4A22-9046-CF4DEB66DAF8}"/>
    <hyperlink ref="D187" r:id="rId217" display="https://fantasy.nfl.com/research/projections?position=8&amp;sort=47&amp;statCategory=projectedStats&amp;statSeason=2025&amp;statType=seasonProjectedStats&amp;statWeek=16" xr:uid="{BE9DB8C7-CFE7-44A5-9980-9E909ADBE059}"/>
    <hyperlink ref="C187" r:id="rId218" display="https://fantasy.nfl.com/research/projections?position=8&amp;sort=46&amp;statCategory=projectedStats&amp;statSeason=2025&amp;statType=seasonProjectedStats&amp;statWeek=16" xr:uid="{E172A303-4CB3-423F-A4CD-130F81BFD7F5}"/>
    <hyperlink ref="B187" r:id="rId219" display="https://fantasy.nfl.com/research/projections?position=8&amp;sort=45&amp;statCategory=projectedStats&amp;statSeason=2025&amp;statType=seasonProjectedStats&amp;statWeek=16" xr:uid="{BB36EE24-808D-4693-9E9D-F20324F8018C}"/>
    <hyperlink ref="A187" r:id="rId220" display="https://fantasy.nfl.com/research/projections?position=8&amp;sort=name&amp;statCategory=projectedStats&amp;statSeason=2025&amp;statType=seasonProjectedStats&amp;statWeek=16" xr:uid="{43396D5A-6E53-49D3-B4D5-DE2CE4082033}"/>
    <hyperlink ref="A81" r:id="rId221" display="https://fantasy.nfl.com/research/projections?position=3&amp;sort=name&amp;statCategory=projectedStats&amp;statSeason=2025&amp;statType=seasonProjectedStats&amp;statWeek=16" xr:uid="{405969ED-1C88-4779-851A-58DB5229E138}"/>
    <hyperlink ref="B81" r:id="rId222" display="https://fantasy.nfl.com/research/projections?position=3&amp;sort=5&amp;statCategory=projectedStats&amp;statSeason=2025&amp;statType=seasonProjectedStats&amp;statWeek=16" xr:uid="{CF25C5A3-9CA4-40DD-A251-C9B36A879B01}"/>
    <hyperlink ref="C81" r:id="rId223" display="https://fantasy.nfl.com/research/projections?position=3&amp;sort=6&amp;statCategory=projectedStats&amp;statSeason=2025&amp;statType=seasonProjectedStats&amp;statWeek=16" xr:uid="{E5CDE1C3-3509-4FBB-9C07-CB543BA58B5D}"/>
    <hyperlink ref="D81" r:id="rId224" display="https://fantasy.nfl.com/research/projections?position=3&amp;sort=7&amp;statCategory=projectedStats&amp;statSeason=2025&amp;statType=seasonProjectedStats&amp;statWeek=16" xr:uid="{F47B0385-EE96-4BDC-9A31-9489A9EFA924}"/>
    <hyperlink ref="E81" r:id="rId225" display="https://fantasy.nfl.com/research/projections?position=3&amp;sort=14&amp;statCategory=projectedStats&amp;statSeason=2025&amp;statType=seasonProjectedStats&amp;statWeek=16" xr:uid="{46838F52-0231-4A48-B071-4B3B3ADBC220}"/>
    <hyperlink ref="F81" r:id="rId226" display="https://fantasy.nfl.com/research/projections?position=3&amp;sort=15&amp;statCategory=projectedStats&amp;statSeason=2025&amp;statType=seasonProjectedStats&amp;statWeek=16" xr:uid="{F38102CB-46E1-47BC-AD9D-B171350936D0}"/>
    <hyperlink ref="G81" r:id="rId227" display="https://fantasy.nfl.com/research/projections?position=3&amp;sort=20&amp;statCategory=projectedStats&amp;statSeason=2025&amp;statType=seasonProjectedStats&amp;statWeek=16" xr:uid="{1BA0CD4F-5B41-4728-ADF0-EFC82A4152A6}"/>
    <hyperlink ref="H81" r:id="rId228" display="https://fantasy.nfl.com/research/projections?position=3&amp;sort=21&amp;statCategory=projectedStats&amp;statSeason=2025&amp;statType=seasonProjectedStats&amp;statWeek=16" xr:uid="{C9BB692C-E251-43FB-8095-BE36C1E59005}"/>
    <hyperlink ref="I81" r:id="rId229" display="https://fantasy.nfl.com/research/projections?position=3&amp;sort=22&amp;statCategory=projectedStats&amp;statSeason=2025&amp;statType=seasonProjectedStats&amp;statWeek=16" xr:uid="{7955949E-FF5E-4FFE-B214-3A672171BDC2}"/>
    <hyperlink ref="J81" r:id="rId230" display="https://fantasy.nfl.com/research/projections?position=3&amp;sort=28&amp;statCategory=projectedStats&amp;statSeason=2025&amp;statType=seasonProjectedStats&amp;statWeek=16" xr:uid="{5A07C508-C752-4419-BFD4-B77B1C5DEDA0}"/>
    <hyperlink ref="K81" r:id="rId231" display="https://fantasy.nfl.com/research/projections?position=3&amp;sort=29&amp;statCategory=projectedStats&amp;statSeason=2025&amp;statType=seasonProjectedStats&amp;statWeek=16" xr:uid="{30CA8EB0-EA32-4BE0-BE30-288F352FC42B}"/>
    <hyperlink ref="L81" r:id="rId232" display="https://fantasy.nfl.com/research/projections?position=3&amp;sort=32&amp;statCategory=projectedStats&amp;statSeason=2025&amp;statType=seasonProjectedStats&amp;statWeek=16" xr:uid="{D3E4ED5D-948B-4B39-B110-8DB66AE4099B}"/>
    <hyperlink ref="M81" r:id="rId233" display="https://fantasy.nfl.com/research/projections?position=3&amp;sort=30&amp;statCategory=projectedStats&amp;statSeason=2025&amp;statType=seasonProjectedStats&amp;statWeek=16" xr:uid="{0FD6E519-68F1-4F73-BE5D-B46C358DCD4F}"/>
    <hyperlink ref="N81" r:id="rId234" display="https://fantasy.nfl.com/research/projections?position=3&amp;sort=projectedPts&amp;statCategory=projectedStats&amp;statSeason=2025&amp;statType=seasonProjectedStats&amp;statWeek=16" xr:uid="{D174F1AC-546B-402B-99F1-502179F2D73D}"/>
    <hyperlink ref="A36" r:id="rId235" display="https://fantasy.nfl.com/players/card?leagueId=0&amp;playerId=2556075" xr:uid="{58A670C6-B329-461B-9F4F-735BF7659531}"/>
    <hyperlink ref="A35" r:id="rId236" display="https://fantasy.nfl.com/players/card?leagueId=0&amp;playerId=2570062" xr:uid="{4F91714E-804C-4AC7-BFED-CA91E2FCC493}"/>
    <hyperlink ref="A34" r:id="rId237" display="https://fantasy.nfl.com/players/card?leagueId=0&amp;playerId=2557997" xr:uid="{982299C9-FF49-49D6-8B85-EA5EC968DB06}"/>
    <hyperlink ref="A33" r:id="rId238" display="https://fantasy.nfl.com/players/card?leagueId=0&amp;playerId=2574298" xr:uid="{9CFC43D4-DEE3-4FDD-802A-BB4F51C31BA9}"/>
    <hyperlink ref="A32" r:id="rId239" display="https://fantasy.nfl.com/players/card?leagueId=0&amp;playerId=2569747" xr:uid="{1EBA8FA6-906B-4E6A-BA11-513F7FA18E35}"/>
    <hyperlink ref="A30" r:id="rId240" display="https://fantasy.nfl.com/players/card?leagueId=0&amp;playerId=2569558" xr:uid="{04C845E6-CA1D-4F74-B89D-CF7C445576B7}"/>
    <hyperlink ref="A29" r:id="rId241" display="https://fantasy.nfl.com/research/projections?position=2&amp;sort=name&amp;statCategory=projectedStats&amp;statSeason=2025&amp;statType=seasonProjectedStats&amp;statWeek=16" xr:uid="{168AC79D-B176-426A-949C-C6470FE7DC4A}"/>
    <hyperlink ref="B29" r:id="rId242" display="https://fantasy.nfl.com/research/projections?position=2&amp;sort=5&amp;statCategory=projectedStats&amp;statSeason=2025&amp;statType=seasonProjectedStats&amp;statWeek=16" xr:uid="{7918782D-CC91-41FE-9DF1-1906C56F39BA}"/>
    <hyperlink ref="C29" r:id="rId243" display="https://fantasy.nfl.com/research/projections?position=2&amp;sort=6&amp;statCategory=projectedStats&amp;statSeason=2025&amp;statType=seasonProjectedStats&amp;statWeek=16" xr:uid="{7BB11B32-4F5A-4939-9569-3452F88C64EA}"/>
    <hyperlink ref="D29" r:id="rId244" display="https://fantasy.nfl.com/research/projections?position=2&amp;sort=7&amp;statCategory=projectedStats&amp;statSeason=2025&amp;statType=seasonProjectedStats&amp;statWeek=16" xr:uid="{0F105A2F-0F0C-4337-B695-B19943265775}"/>
    <hyperlink ref="E29" r:id="rId245" display="https://fantasy.nfl.com/research/projections?position=2&amp;sort=14&amp;statCategory=projectedStats&amp;statSeason=2025&amp;statType=seasonProjectedStats&amp;statWeek=16" xr:uid="{821D09CD-C2A5-4359-86D5-55F3B0FDD7AA}"/>
    <hyperlink ref="F29" r:id="rId246" display="https://fantasy.nfl.com/research/projections?position=2&amp;sort=15&amp;statCategory=projectedStats&amp;statSeason=2025&amp;statType=seasonProjectedStats&amp;statWeek=16" xr:uid="{082A5700-EAE8-435C-8677-725F9253EFE0}"/>
    <hyperlink ref="G29" r:id="rId247" display="https://fantasy.nfl.com/research/projections?position=2&amp;sort=20&amp;statCategory=projectedStats&amp;statSeason=2025&amp;statType=seasonProjectedStats&amp;statWeek=16" xr:uid="{676997C7-787D-4E67-9480-0FDECA074B28}"/>
    <hyperlink ref="H29" r:id="rId248" display="https://fantasy.nfl.com/research/projections?position=2&amp;sort=21&amp;statCategory=projectedStats&amp;statSeason=2025&amp;statType=seasonProjectedStats&amp;statWeek=16" xr:uid="{87F8254C-0867-4585-BAB6-529F9495B54E}"/>
    <hyperlink ref="I29" r:id="rId249" display="https://fantasy.nfl.com/research/projections?position=2&amp;sort=22&amp;statCategory=projectedStats&amp;statSeason=2025&amp;statType=seasonProjectedStats&amp;statWeek=16" xr:uid="{888D3775-0CF5-4EC2-8482-EC3AD72F0709}"/>
    <hyperlink ref="J29" r:id="rId250" display="https://fantasy.nfl.com/research/projections?position=2&amp;sort=28&amp;statCategory=projectedStats&amp;statSeason=2025&amp;statType=seasonProjectedStats&amp;statWeek=16" xr:uid="{51975AB7-B912-4623-B4B4-57689F8AFEF0}"/>
    <hyperlink ref="K29" r:id="rId251" display="https://fantasy.nfl.com/research/projections?position=2&amp;sort=29&amp;statCategory=projectedStats&amp;statSeason=2025&amp;statType=seasonProjectedStats&amp;statWeek=16" xr:uid="{3CB7C125-5807-4970-B659-135561753210}"/>
    <hyperlink ref="L29" r:id="rId252" display="https://fantasy.nfl.com/research/projections?position=2&amp;sort=32&amp;statCategory=projectedStats&amp;statSeason=2025&amp;statType=seasonProjectedStats&amp;statWeek=16" xr:uid="{37A566B6-16D5-4989-AFF9-BDA2BCD050CB}"/>
    <hyperlink ref="M29" r:id="rId253" display="https://fantasy.nfl.com/research/projections?position=2&amp;sort=30&amp;statCategory=projectedStats&amp;statSeason=2025&amp;statType=seasonProjectedStats&amp;statWeek=16" xr:uid="{5405832E-05E2-4F2E-9FC8-B2D86EAEAAC5}"/>
    <hyperlink ref="N29" r:id="rId254" display="https://fantasy.nfl.com/research/projections?position=2&amp;sort=projectedPts&amp;statCategory=projectedStats&amp;statSeason=2025&amp;statType=seasonProjectedStats&amp;statWeek=16" xr:uid="{3F2CAD27-54D2-49D5-9D67-C67EA4FB6D5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2689-287F-4C41-9A66-CAF136ACB452}">
  <dimension ref="B2:AJ74"/>
  <sheetViews>
    <sheetView workbookViewId="0">
      <selection activeCell="AK1" sqref="AK1:AL1048576"/>
    </sheetView>
  </sheetViews>
  <sheetFormatPr defaultRowHeight="14.5" x14ac:dyDescent="0.35"/>
  <sheetData>
    <row r="2" spans="2:36" x14ac:dyDescent="0.35">
      <c r="B2" t="s">
        <v>106</v>
      </c>
    </row>
    <row r="3" spans="2:36" x14ac:dyDescent="0.35">
      <c r="F3">
        <v>12</v>
      </c>
      <c r="G3" t="s">
        <v>107</v>
      </c>
      <c r="I3" t="s">
        <v>108</v>
      </c>
      <c r="J3">
        <v>1</v>
      </c>
      <c r="K3" t="s">
        <v>109</v>
      </c>
      <c r="L3" t="s">
        <v>108</v>
      </c>
      <c r="S3" t="s">
        <v>108</v>
      </c>
      <c r="T3" t="s">
        <v>110</v>
      </c>
      <c r="Z3" t="s">
        <v>108</v>
      </c>
      <c r="AA3" t="s">
        <v>111</v>
      </c>
    </row>
    <row r="5" spans="2:36" x14ac:dyDescent="0.35">
      <c r="B5" t="s">
        <v>78</v>
      </c>
      <c r="N5" t="s">
        <v>44</v>
      </c>
      <c r="Z5" t="s">
        <v>42</v>
      </c>
    </row>
    <row r="6" spans="2:36" x14ac:dyDescent="0.35">
      <c r="B6" t="s">
        <v>112</v>
      </c>
      <c r="C6" t="s">
        <v>113</v>
      </c>
      <c r="D6" t="s">
        <v>114</v>
      </c>
      <c r="E6" t="s">
        <v>115</v>
      </c>
      <c r="F6" t="s">
        <v>116</v>
      </c>
      <c r="G6" t="s">
        <v>117</v>
      </c>
      <c r="H6" t="s">
        <v>118</v>
      </c>
      <c r="I6" t="s">
        <v>119</v>
      </c>
      <c r="J6" t="s">
        <v>120</v>
      </c>
      <c r="K6" t="s">
        <v>121</v>
      </c>
      <c r="L6" t="s">
        <v>122</v>
      </c>
      <c r="N6" t="s">
        <v>112</v>
      </c>
      <c r="O6" t="s">
        <v>113</v>
      </c>
      <c r="P6" t="s">
        <v>114</v>
      </c>
      <c r="Q6" t="s">
        <v>115</v>
      </c>
      <c r="R6" t="s">
        <v>116</v>
      </c>
      <c r="S6" t="s">
        <v>117</v>
      </c>
      <c r="T6" t="s">
        <v>123</v>
      </c>
      <c r="U6" t="s">
        <v>119</v>
      </c>
      <c r="V6" t="s">
        <v>120</v>
      </c>
      <c r="W6" t="s">
        <v>121</v>
      </c>
      <c r="X6" t="s">
        <v>122</v>
      </c>
      <c r="Z6" t="s">
        <v>112</v>
      </c>
      <c r="AA6" t="s">
        <v>113</v>
      </c>
      <c r="AB6" t="s">
        <v>114</v>
      </c>
      <c r="AC6" t="s">
        <v>115</v>
      </c>
      <c r="AD6" t="s">
        <v>116</v>
      </c>
      <c r="AE6" t="s">
        <v>117</v>
      </c>
      <c r="AF6" t="s">
        <v>123</v>
      </c>
      <c r="AG6" t="s">
        <v>119</v>
      </c>
      <c r="AH6" t="s">
        <v>120</v>
      </c>
      <c r="AI6" t="s">
        <v>121</v>
      </c>
      <c r="AJ6" t="s">
        <v>122</v>
      </c>
    </row>
    <row r="7" spans="2:36" x14ac:dyDescent="0.35">
      <c r="B7">
        <v>1</v>
      </c>
      <c r="C7" t="s">
        <v>77</v>
      </c>
      <c r="D7" t="s">
        <v>124</v>
      </c>
      <c r="E7">
        <v>7</v>
      </c>
      <c r="F7">
        <v>22.6</v>
      </c>
      <c r="G7" s="1">
        <v>0.96</v>
      </c>
      <c r="H7" s="2">
        <v>4.1000000000000002E-2</v>
      </c>
      <c r="I7">
        <v>5.5</v>
      </c>
      <c r="J7">
        <v>1</v>
      </c>
      <c r="K7">
        <v>2.09</v>
      </c>
      <c r="L7">
        <v>3.02</v>
      </c>
      <c r="N7">
        <v>1</v>
      </c>
      <c r="O7" t="s">
        <v>43</v>
      </c>
      <c r="P7" t="s">
        <v>125</v>
      </c>
      <c r="Q7">
        <v>5</v>
      </c>
      <c r="R7">
        <v>19.3</v>
      </c>
      <c r="S7" s="1">
        <v>0.97</v>
      </c>
      <c r="T7" s="2">
        <v>3.1E-2</v>
      </c>
      <c r="U7">
        <v>8.8000000000000007</v>
      </c>
      <c r="V7">
        <v>1</v>
      </c>
      <c r="W7">
        <v>1.02</v>
      </c>
      <c r="X7">
        <v>1.03</v>
      </c>
      <c r="Z7">
        <v>1</v>
      </c>
      <c r="AA7" t="s">
        <v>41</v>
      </c>
      <c r="AB7" t="s">
        <v>126</v>
      </c>
      <c r="AC7">
        <v>10</v>
      </c>
      <c r="AD7">
        <v>20.8</v>
      </c>
      <c r="AE7" s="1">
        <v>0.97</v>
      </c>
      <c r="AF7" s="2">
        <v>2.8000000000000001E-2</v>
      </c>
      <c r="AG7">
        <v>8.1</v>
      </c>
      <c r="AH7">
        <v>1</v>
      </c>
      <c r="AI7">
        <v>1.01</v>
      </c>
      <c r="AJ7">
        <v>1.01</v>
      </c>
    </row>
    <row r="8" spans="2:36" x14ac:dyDescent="0.35">
      <c r="B8">
        <v>2</v>
      </c>
      <c r="C8" t="s">
        <v>79</v>
      </c>
      <c r="D8" t="s">
        <v>127</v>
      </c>
      <c r="E8">
        <v>7</v>
      </c>
      <c r="F8">
        <v>22.5</v>
      </c>
      <c r="G8" s="1">
        <v>0.92</v>
      </c>
      <c r="H8" s="2">
        <v>4.1000000000000002E-2</v>
      </c>
      <c r="I8">
        <v>5.4</v>
      </c>
      <c r="J8">
        <v>1</v>
      </c>
      <c r="K8">
        <v>2.1</v>
      </c>
      <c r="L8">
        <v>3.03</v>
      </c>
      <c r="N8">
        <v>2</v>
      </c>
      <c r="O8" t="s">
        <v>46</v>
      </c>
      <c r="P8" t="s">
        <v>128</v>
      </c>
      <c r="Q8">
        <v>9</v>
      </c>
      <c r="R8">
        <v>19.100000000000001</v>
      </c>
      <c r="S8" s="1">
        <v>0.94</v>
      </c>
      <c r="T8" s="2">
        <v>3.1E-2</v>
      </c>
      <c r="U8">
        <v>8.5</v>
      </c>
      <c r="V8">
        <v>1</v>
      </c>
      <c r="W8">
        <v>1.04</v>
      </c>
      <c r="X8">
        <v>1.08</v>
      </c>
      <c r="Z8">
        <v>2</v>
      </c>
      <c r="AA8" t="s">
        <v>50</v>
      </c>
      <c r="AB8" t="s">
        <v>129</v>
      </c>
      <c r="AC8">
        <v>10</v>
      </c>
      <c r="AD8">
        <v>18.2</v>
      </c>
      <c r="AE8" s="1">
        <v>0.95</v>
      </c>
      <c r="AF8" s="2">
        <v>2.4E-2</v>
      </c>
      <c r="AG8">
        <v>5.4</v>
      </c>
      <c r="AH8">
        <v>2</v>
      </c>
      <c r="AI8">
        <v>1.05</v>
      </c>
      <c r="AJ8">
        <v>1.04</v>
      </c>
    </row>
    <row r="9" spans="2:36" x14ac:dyDescent="0.35">
      <c r="B9">
        <v>3</v>
      </c>
      <c r="C9" t="s">
        <v>81</v>
      </c>
      <c r="D9" t="s">
        <v>128</v>
      </c>
      <c r="E9">
        <v>9</v>
      </c>
      <c r="F9">
        <v>21.6</v>
      </c>
      <c r="G9" s="1">
        <v>0.88</v>
      </c>
      <c r="H9" s="2">
        <v>3.9E-2</v>
      </c>
      <c r="I9">
        <v>4.5</v>
      </c>
      <c r="J9">
        <v>2</v>
      </c>
      <c r="K9">
        <v>3.11</v>
      </c>
      <c r="L9">
        <v>4.0199999999999996</v>
      </c>
      <c r="N9">
        <v>3</v>
      </c>
      <c r="O9" t="s">
        <v>47</v>
      </c>
      <c r="P9" t="s">
        <v>130</v>
      </c>
      <c r="Q9">
        <v>8</v>
      </c>
      <c r="R9">
        <v>18.899999999999999</v>
      </c>
      <c r="S9" s="1">
        <v>0.91</v>
      </c>
      <c r="T9" s="2">
        <v>0.03</v>
      </c>
      <c r="U9">
        <v>8.3000000000000007</v>
      </c>
      <c r="V9">
        <v>2</v>
      </c>
      <c r="W9">
        <v>1.04</v>
      </c>
      <c r="X9">
        <v>1.06</v>
      </c>
      <c r="Z9">
        <v>3</v>
      </c>
      <c r="AA9" t="s">
        <v>45</v>
      </c>
      <c r="AB9" t="s">
        <v>131</v>
      </c>
      <c r="AC9">
        <v>6</v>
      </c>
      <c r="AD9">
        <v>18</v>
      </c>
      <c r="AE9" s="1">
        <v>0.92</v>
      </c>
      <c r="AF9" s="2">
        <v>2.4E-2</v>
      </c>
      <c r="AG9">
        <v>5.2</v>
      </c>
      <c r="AH9">
        <v>2</v>
      </c>
      <c r="AI9">
        <v>1.05</v>
      </c>
      <c r="AJ9">
        <v>1.04</v>
      </c>
    </row>
    <row r="10" spans="2:36" x14ac:dyDescent="0.35">
      <c r="B10">
        <v>4</v>
      </c>
      <c r="C10" t="s">
        <v>80</v>
      </c>
      <c r="D10" t="s">
        <v>132</v>
      </c>
      <c r="E10">
        <v>12</v>
      </c>
      <c r="F10">
        <v>21.2</v>
      </c>
      <c r="G10" s="1">
        <v>0.84</v>
      </c>
      <c r="H10" s="2">
        <v>3.9E-2</v>
      </c>
      <c r="I10">
        <v>4.0999999999999996</v>
      </c>
      <c r="J10">
        <v>2</v>
      </c>
      <c r="K10">
        <v>3.07</v>
      </c>
      <c r="L10">
        <v>3.1</v>
      </c>
      <c r="N10">
        <v>4</v>
      </c>
      <c r="O10" t="s">
        <v>48</v>
      </c>
      <c r="P10" t="s">
        <v>49</v>
      </c>
      <c r="Q10">
        <v>14</v>
      </c>
      <c r="R10">
        <v>17.7</v>
      </c>
      <c r="S10" s="1">
        <v>0.88</v>
      </c>
      <c r="T10" s="2">
        <v>2.8000000000000001E-2</v>
      </c>
      <c r="U10">
        <v>7.2</v>
      </c>
      <c r="V10">
        <v>3</v>
      </c>
      <c r="W10">
        <v>1.08</v>
      </c>
      <c r="X10">
        <v>2.0099999999999998</v>
      </c>
      <c r="Z10">
        <v>4</v>
      </c>
      <c r="AA10" t="s">
        <v>51</v>
      </c>
      <c r="AB10" t="s">
        <v>52</v>
      </c>
      <c r="AC10">
        <v>14</v>
      </c>
      <c r="AD10">
        <v>17.2</v>
      </c>
      <c r="AE10" s="1">
        <v>0.9</v>
      </c>
      <c r="AF10" s="2">
        <v>2.3E-2</v>
      </c>
      <c r="AG10">
        <v>4.5</v>
      </c>
      <c r="AH10">
        <v>2</v>
      </c>
      <c r="AI10">
        <v>1.1000000000000001</v>
      </c>
      <c r="AJ10">
        <v>1.08</v>
      </c>
    </row>
    <row r="11" spans="2:36" x14ac:dyDescent="0.35">
      <c r="B11">
        <v>5</v>
      </c>
      <c r="C11" t="s">
        <v>89</v>
      </c>
      <c r="D11" t="s">
        <v>126</v>
      </c>
      <c r="E11">
        <v>10</v>
      </c>
      <c r="F11">
        <v>20.5</v>
      </c>
      <c r="G11" s="1">
        <v>0.8</v>
      </c>
      <c r="H11" s="2">
        <v>3.7999999999999999E-2</v>
      </c>
      <c r="I11">
        <v>3.4</v>
      </c>
      <c r="J11">
        <v>3</v>
      </c>
      <c r="K11">
        <v>3.1</v>
      </c>
      <c r="L11">
        <v>5.01</v>
      </c>
      <c r="N11">
        <v>5</v>
      </c>
      <c r="O11" t="s">
        <v>66</v>
      </c>
      <c r="P11" t="s">
        <v>133</v>
      </c>
      <c r="Q11">
        <v>12</v>
      </c>
      <c r="R11">
        <v>17</v>
      </c>
      <c r="S11" s="1">
        <v>0.85</v>
      </c>
      <c r="T11" s="2">
        <v>2.7E-2</v>
      </c>
      <c r="U11">
        <v>6.5</v>
      </c>
      <c r="V11">
        <v>4</v>
      </c>
      <c r="W11">
        <v>2.0299999999999998</v>
      </c>
      <c r="X11">
        <v>2.06</v>
      </c>
      <c r="Z11">
        <v>5</v>
      </c>
      <c r="AA11" t="s">
        <v>56</v>
      </c>
      <c r="AB11" t="s">
        <v>130</v>
      </c>
      <c r="AC11">
        <v>8</v>
      </c>
      <c r="AD11">
        <v>17.100000000000001</v>
      </c>
      <c r="AE11" s="1">
        <v>0.88</v>
      </c>
      <c r="AF11" s="2">
        <v>2.3E-2</v>
      </c>
      <c r="AG11">
        <v>4.4000000000000004</v>
      </c>
      <c r="AH11">
        <v>3</v>
      </c>
      <c r="AI11">
        <v>1.0900000000000001</v>
      </c>
      <c r="AJ11">
        <v>1.0900000000000001</v>
      </c>
    </row>
    <row r="12" spans="2:36" x14ac:dyDescent="0.35">
      <c r="B12">
        <v>6</v>
      </c>
      <c r="C12" t="s">
        <v>134</v>
      </c>
      <c r="D12" t="s">
        <v>101</v>
      </c>
      <c r="E12">
        <v>10</v>
      </c>
      <c r="F12">
        <v>19.600000000000001</v>
      </c>
      <c r="G12" s="1">
        <v>0.77</v>
      </c>
      <c r="H12" s="2">
        <v>3.5999999999999997E-2</v>
      </c>
      <c r="I12">
        <v>2.5</v>
      </c>
      <c r="J12">
        <v>4</v>
      </c>
      <c r="K12">
        <v>5.0199999999999996</v>
      </c>
      <c r="L12">
        <v>6.05</v>
      </c>
      <c r="N12">
        <v>6</v>
      </c>
      <c r="O12" t="s">
        <v>55</v>
      </c>
      <c r="P12" t="s">
        <v>127</v>
      </c>
      <c r="Q12">
        <v>7</v>
      </c>
      <c r="R12">
        <v>16.2</v>
      </c>
      <c r="S12" s="1">
        <v>0.83</v>
      </c>
      <c r="T12" s="2">
        <v>2.5999999999999999E-2</v>
      </c>
      <c r="U12">
        <v>5.6</v>
      </c>
      <c r="V12">
        <v>5</v>
      </c>
      <c r="W12">
        <v>1.1000000000000001</v>
      </c>
      <c r="X12">
        <v>2.1</v>
      </c>
      <c r="Z12">
        <v>6</v>
      </c>
      <c r="AA12" t="s">
        <v>53</v>
      </c>
      <c r="AB12" t="s">
        <v>54</v>
      </c>
      <c r="AC12">
        <v>8</v>
      </c>
      <c r="AD12">
        <v>17</v>
      </c>
      <c r="AE12" s="1">
        <v>0.86</v>
      </c>
      <c r="AF12" s="2">
        <v>2.3E-2</v>
      </c>
      <c r="AG12">
        <v>4.3</v>
      </c>
      <c r="AH12">
        <v>3</v>
      </c>
      <c r="AI12">
        <v>1.1100000000000001</v>
      </c>
      <c r="AJ12">
        <v>1.1100000000000001</v>
      </c>
    </row>
    <row r="13" spans="2:36" x14ac:dyDescent="0.35">
      <c r="B13">
        <v>7</v>
      </c>
      <c r="C13" t="s">
        <v>135</v>
      </c>
      <c r="D13" t="s">
        <v>72</v>
      </c>
      <c r="E13">
        <v>9</v>
      </c>
      <c r="F13">
        <v>19.2</v>
      </c>
      <c r="G13" s="1">
        <v>0.73</v>
      </c>
      <c r="H13" s="2">
        <v>3.5000000000000003E-2</v>
      </c>
      <c r="I13">
        <v>2.2000000000000002</v>
      </c>
      <c r="J13">
        <v>4</v>
      </c>
      <c r="K13">
        <v>6.03</v>
      </c>
      <c r="L13">
        <v>7.02</v>
      </c>
      <c r="N13">
        <v>7</v>
      </c>
      <c r="O13" t="s">
        <v>57</v>
      </c>
      <c r="P13" t="s">
        <v>58</v>
      </c>
      <c r="Q13">
        <v>8</v>
      </c>
      <c r="R13">
        <v>16</v>
      </c>
      <c r="S13" s="1">
        <v>0.8</v>
      </c>
      <c r="T13" s="2">
        <v>2.5999999999999999E-2</v>
      </c>
      <c r="U13">
        <v>5.4</v>
      </c>
      <c r="V13">
        <v>5</v>
      </c>
      <c r="W13">
        <v>1.1000000000000001</v>
      </c>
      <c r="X13">
        <v>2.0299999999999998</v>
      </c>
      <c r="Z13">
        <v>7</v>
      </c>
      <c r="AA13" t="s">
        <v>59</v>
      </c>
      <c r="AB13" t="s">
        <v>136</v>
      </c>
      <c r="AC13">
        <v>6</v>
      </c>
      <c r="AD13">
        <v>16.399999999999999</v>
      </c>
      <c r="AE13" s="1">
        <v>0.83</v>
      </c>
      <c r="AF13" s="2">
        <v>2.1999999999999999E-2</v>
      </c>
      <c r="AG13">
        <v>3.6</v>
      </c>
      <c r="AH13">
        <v>4</v>
      </c>
      <c r="AI13">
        <v>2.0099999999999998</v>
      </c>
      <c r="AJ13">
        <v>1.1000000000000001</v>
      </c>
    </row>
    <row r="14" spans="2:36" x14ac:dyDescent="0.35">
      <c r="B14">
        <v>8</v>
      </c>
      <c r="C14" t="s">
        <v>137</v>
      </c>
      <c r="D14" t="s">
        <v>138</v>
      </c>
      <c r="E14">
        <v>8</v>
      </c>
      <c r="F14">
        <v>19.100000000000001</v>
      </c>
      <c r="G14" s="1">
        <v>0.7</v>
      </c>
      <c r="H14" s="2">
        <v>3.5000000000000003E-2</v>
      </c>
      <c r="I14">
        <v>2</v>
      </c>
      <c r="J14">
        <v>4</v>
      </c>
      <c r="K14">
        <v>8.0299999999999994</v>
      </c>
      <c r="L14">
        <v>8</v>
      </c>
      <c r="N14">
        <v>8</v>
      </c>
      <c r="O14" t="s">
        <v>64</v>
      </c>
      <c r="P14" t="s">
        <v>65</v>
      </c>
      <c r="Q14">
        <v>5</v>
      </c>
      <c r="R14">
        <v>15.9</v>
      </c>
      <c r="S14" s="1">
        <v>0.78</v>
      </c>
      <c r="T14" s="2">
        <v>2.5999999999999999E-2</v>
      </c>
      <c r="U14">
        <v>5.4</v>
      </c>
      <c r="V14">
        <v>5</v>
      </c>
      <c r="W14">
        <v>2.04</v>
      </c>
      <c r="X14">
        <v>3.04</v>
      </c>
      <c r="Z14">
        <v>8</v>
      </c>
      <c r="AA14" t="s">
        <v>60</v>
      </c>
      <c r="AB14" t="s">
        <v>139</v>
      </c>
      <c r="AC14">
        <v>8</v>
      </c>
      <c r="AD14">
        <v>16.2</v>
      </c>
      <c r="AE14" s="1">
        <v>0.81</v>
      </c>
      <c r="AF14" s="2">
        <v>2.1999999999999999E-2</v>
      </c>
      <c r="AG14">
        <v>3.5</v>
      </c>
      <c r="AH14">
        <v>4</v>
      </c>
      <c r="AI14">
        <v>2.04</v>
      </c>
      <c r="AJ14">
        <v>1.1200000000000001</v>
      </c>
    </row>
    <row r="15" spans="2:36" x14ac:dyDescent="0.35">
      <c r="B15">
        <v>9</v>
      </c>
      <c r="C15" t="s">
        <v>140</v>
      </c>
      <c r="D15" t="s">
        <v>49</v>
      </c>
      <c r="E15">
        <v>14</v>
      </c>
      <c r="F15">
        <v>18.7</v>
      </c>
      <c r="G15" s="1">
        <v>0.66</v>
      </c>
      <c r="H15" s="2">
        <v>3.4000000000000002E-2</v>
      </c>
      <c r="I15">
        <v>1.6</v>
      </c>
      <c r="J15">
        <v>4</v>
      </c>
      <c r="K15">
        <v>9.0399999999999991</v>
      </c>
      <c r="L15">
        <v>8.11</v>
      </c>
      <c r="N15">
        <v>9</v>
      </c>
      <c r="O15" t="s">
        <v>82</v>
      </c>
      <c r="P15" t="s">
        <v>126</v>
      </c>
      <c r="Q15">
        <v>10</v>
      </c>
      <c r="R15">
        <v>15.8</v>
      </c>
      <c r="S15" s="1">
        <v>0.75</v>
      </c>
      <c r="T15" s="2">
        <v>2.5000000000000001E-2</v>
      </c>
      <c r="U15">
        <v>5.3</v>
      </c>
      <c r="V15">
        <v>5</v>
      </c>
      <c r="W15">
        <v>2.09</v>
      </c>
      <c r="X15">
        <v>2.11</v>
      </c>
      <c r="Z15">
        <v>9</v>
      </c>
      <c r="AA15" t="s">
        <v>73</v>
      </c>
      <c r="AB15" t="s">
        <v>125</v>
      </c>
      <c r="AC15">
        <v>5</v>
      </c>
      <c r="AD15">
        <v>15.8</v>
      </c>
      <c r="AE15" s="1">
        <v>0.79</v>
      </c>
      <c r="AF15" s="2">
        <v>2.1000000000000001E-2</v>
      </c>
      <c r="AG15">
        <v>3.1</v>
      </c>
      <c r="AH15">
        <v>4</v>
      </c>
      <c r="AI15">
        <v>2.0699999999999998</v>
      </c>
      <c r="AJ15">
        <v>2</v>
      </c>
    </row>
    <row r="16" spans="2:36" x14ac:dyDescent="0.35">
      <c r="B16">
        <v>10</v>
      </c>
      <c r="C16" t="s">
        <v>141</v>
      </c>
      <c r="D16" t="s">
        <v>142</v>
      </c>
      <c r="E16">
        <v>12</v>
      </c>
      <c r="F16">
        <v>18.399999999999999</v>
      </c>
      <c r="G16" s="1">
        <v>0.63</v>
      </c>
      <c r="H16" s="2">
        <v>3.4000000000000002E-2</v>
      </c>
      <c r="I16">
        <v>1.3</v>
      </c>
      <c r="J16">
        <v>5</v>
      </c>
      <c r="K16">
        <v>6.11</v>
      </c>
      <c r="L16">
        <v>7.03</v>
      </c>
      <c r="N16">
        <v>10</v>
      </c>
      <c r="O16" t="s">
        <v>63</v>
      </c>
      <c r="P16" t="s">
        <v>143</v>
      </c>
      <c r="Q16">
        <v>11</v>
      </c>
      <c r="R16">
        <v>15.4</v>
      </c>
      <c r="S16" s="1">
        <v>0.72</v>
      </c>
      <c r="T16" s="2">
        <v>2.5000000000000001E-2</v>
      </c>
      <c r="U16">
        <v>4.9000000000000004</v>
      </c>
      <c r="V16">
        <v>5</v>
      </c>
      <c r="W16">
        <v>2.08</v>
      </c>
      <c r="X16">
        <v>3.06</v>
      </c>
      <c r="Z16">
        <v>10</v>
      </c>
      <c r="AA16" t="s">
        <v>75</v>
      </c>
      <c r="AB16" t="s">
        <v>133</v>
      </c>
      <c r="AC16">
        <v>12</v>
      </c>
      <c r="AD16">
        <v>15.4</v>
      </c>
      <c r="AE16" s="1">
        <v>0.77</v>
      </c>
      <c r="AF16" s="2">
        <v>0.02</v>
      </c>
      <c r="AG16">
        <v>2.6</v>
      </c>
      <c r="AH16">
        <v>4</v>
      </c>
      <c r="AI16">
        <v>3.08</v>
      </c>
      <c r="AJ16">
        <v>3.07</v>
      </c>
    </row>
    <row r="17" spans="2:36" x14ac:dyDescent="0.35">
      <c r="B17">
        <v>11</v>
      </c>
      <c r="C17" t="s">
        <v>144</v>
      </c>
      <c r="D17" t="s">
        <v>98</v>
      </c>
      <c r="E17">
        <v>9</v>
      </c>
      <c r="F17">
        <v>18</v>
      </c>
      <c r="G17" s="1">
        <v>0.6</v>
      </c>
      <c r="H17" s="2">
        <v>3.3000000000000002E-2</v>
      </c>
      <c r="I17">
        <v>0.9</v>
      </c>
      <c r="J17">
        <v>5</v>
      </c>
      <c r="K17">
        <v>10.08</v>
      </c>
      <c r="L17">
        <v>9.02</v>
      </c>
      <c r="N17">
        <v>11</v>
      </c>
      <c r="O17" t="s">
        <v>70</v>
      </c>
      <c r="P17" t="s">
        <v>54</v>
      </c>
      <c r="Q17">
        <v>8</v>
      </c>
      <c r="R17">
        <v>15.3</v>
      </c>
      <c r="S17" s="1">
        <v>0.7</v>
      </c>
      <c r="T17" s="2">
        <v>2.5000000000000001E-2</v>
      </c>
      <c r="U17">
        <v>4.7</v>
      </c>
      <c r="V17">
        <v>5</v>
      </c>
      <c r="W17">
        <v>2.12</v>
      </c>
      <c r="X17">
        <v>4</v>
      </c>
      <c r="Z17">
        <v>11</v>
      </c>
      <c r="AA17" t="s">
        <v>61</v>
      </c>
      <c r="AB17" t="s">
        <v>128</v>
      </c>
      <c r="AC17">
        <v>9</v>
      </c>
      <c r="AD17">
        <v>15.3</v>
      </c>
      <c r="AE17" s="1">
        <v>0.75</v>
      </c>
      <c r="AF17" s="2">
        <v>0.02</v>
      </c>
      <c r="AG17">
        <v>2.6</v>
      </c>
      <c r="AH17">
        <v>4</v>
      </c>
      <c r="AI17">
        <v>2.08</v>
      </c>
      <c r="AJ17">
        <v>2.0499999999999998</v>
      </c>
    </row>
    <row r="18" spans="2:36" x14ac:dyDescent="0.35">
      <c r="B18">
        <v>12</v>
      </c>
      <c r="C18" t="s">
        <v>145</v>
      </c>
      <c r="D18" t="s">
        <v>131</v>
      </c>
      <c r="E18">
        <v>6</v>
      </c>
      <c r="F18">
        <v>17.7</v>
      </c>
      <c r="G18" s="1">
        <v>0.56000000000000005</v>
      </c>
      <c r="H18" s="2">
        <v>3.2000000000000001E-2</v>
      </c>
      <c r="I18">
        <v>0.6</v>
      </c>
      <c r="J18">
        <v>5</v>
      </c>
      <c r="K18">
        <v>13.02</v>
      </c>
      <c r="L18">
        <v>11.01</v>
      </c>
      <c r="N18">
        <v>12</v>
      </c>
      <c r="O18" t="s">
        <v>71</v>
      </c>
      <c r="P18" t="s">
        <v>72</v>
      </c>
      <c r="Q18">
        <v>9</v>
      </c>
      <c r="R18">
        <v>15.1</v>
      </c>
      <c r="S18" s="1">
        <v>0.68</v>
      </c>
      <c r="T18" s="2">
        <v>2.4E-2</v>
      </c>
      <c r="U18">
        <v>4.5999999999999996</v>
      </c>
      <c r="V18">
        <v>6</v>
      </c>
      <c r="W18">
        <v>2.1</v>
      </c>
      <c r="X18">
        <v>3.02</v>
      </c>
      <c r="Z18">
        <v>12</v>
      </c>
      <c r="AA18" t="s">
        <v>83</v>
      </c>
      <c r="AB18" t="s">
        <v>84</v>
      </c>
      <c r="AC18">
        <v>12</v>
      </c>
      <c r="AD18">
        <v>15.1</v>
      </c>
      <c r="AE18" s="1">
        <v>0.73</v>
      </c>
      <c r="AF18" s="2">
        <v>0.02</v>
      </c>
      <c r="AG18">
        <v>2.2999999999999998</v>
      </c>
      <c r="AH18">
        <v>5</v>
      </c>
      <c r="AI18">
        <v>3.02</v>
      </c>
      <c r="AJ18">
        <v>2.06</v>
      </c>
    </row>
    <row r="19" spans="2:36" x14ac:dyDescent="0.35">
      <c r="B19">
        <v>13</v>
      </c>
      <c r="C19" t="s">
        <v>146</v>
      </c>
      <c r="D19" t="s">
        <v>147</v>
      </c>
      <c r="E19">
        <v>5</v>
      </c>
      <c r="F19">
        <v>17.5</v>
      </c>
      <c r="G19" s="1">
        <v>0.53</v>
      </c>
      <c r="H19" s="2">
        <v>3.2000000000000001E-2</v>
      </c>
      <c r="I19">
        <v>0.5</v>
      </c>
      <c r="J19">
        <v>5</v>
      </c>
      <c r="K19">
        <v>11.02</v>
      </c>
      <c r="L19">
        <v>9.06</v>
      </c>
      <c r="N19">
        <v>13</v>
      </c>
      <c r="O19" t="s">
        <v>92</v>
      </c>
      <c r="P19" t="s">
        <v>93</v>
      </c>
      <c r="Q19">
        <v>11</v>
      </c>
      <c r="R19">
        <v>14.4</v>
      </c>
      <c r="S19" s="1">
        <v>0.65</v>
      </c>
      <c r="T19" s="2">
        <v>2.3E-2</v>
      </c>
      <c r="U19">
        <v>3.8</v>
      </c>
      <c r="V19">
        <v>7</v>
      </c>
      <c r="W19">
        <v>4.01</v>
      </c>
      <c r="X19">
        <v>4.0599999999999996</v>
      </c>
      <c r="Z19">
        <v>13</v>
      </c>
      <c r="AA19" t="s">
        <v>62</v>
      </c>
      <c r="AB19" t="s">
        <v>126</v>
      </c>
      <c r="AC19">
        <v>10</v>
      </c>
      <c r="AD19">
        <v>14.7</v>
      </c>
      <c r="AE19" s="1">
        <v>0.71</v>
      </c>
      <c r="AF19" s="2">
        <v>0.02</v>
      </c>
      <c r="AG19">
        <v>1.9</v>
      </c>
      <c r="AH19">
        <v>5</v>
      </c>
      <c r="AI19">
        <v>3.07</v>
      </c>
      <c r="AJ19">
        <v>3.01</v>
      </c>
    </row>
    <row r="20" spans="2:36" x14ac:dyDescent="0.35">
      <c r="B20">
        <v>14</v>
      </c>
      <c r="C20" t="s">
        <v>148</v>
      </c>
      <c r="D20" t="s">
        <v>129</v>
      </c>
      <c r="E20">
        <v>10</v>
      </c>
      <c r="F20">
        <v>17.5</v>
      </c>
      <c r="G20" s="1">
        <v>0.5</v>
      </c>
      <c r="H20" s="2">
        <v>3.2000000000000001E-2</v>
      </c>
      <c r="I20">
        <v>0.4</v>
      </c>
      <c r="J20">
        <v>5</v>
      </c>
      <c r="K20">
        <v>9.0500000000000007</v>
      </c>
      <c r="L20">
        <v>8.01</v>
      </c>
      <c r="N20">
        <v>14</v>
      </c>
      <c r="O20" t="s">
        <v>149</v>
      </c>
      <c r="P20" t="s">
        <v>124</v>
      </c>
      <c r="Q20">
        <v>7</v>
      </c>
      <c r="R20">
        <v>13.9</v>
      </c>
      <c r="S20" s="1">
        <v>0.63</v>
      </c>
      <c r="T20" s="2">
        <v>2.1999999999999999E-2</v>
      </c>
      <c r="U20">
        <v>3.4</v>
      </c>
      <c r="V20">
        <v>7</v>
      </c>
      <c r="W20">
        <v>3.06</v>
      </c>
      <c r="X20">
        <v>4.07</v>
      </c>
      <c r="Z20">
        <v>14</v>
      </c>
      <c r="AA20" t="s">
        <v>104</v>
      </c>
      <c r="AB20" t="s">
        <v>72</v>
      </c>
      <c r="AC20">
        <v>9</v>
      </c>
      <c r="AD20">
        <v>14.6</v>
      </c>
      <c r="AE20" s="1">
        <v>0.69</v>
      </c>
      <c r="AF20" s="2">
        <v>1.9E-2</v>
      </c>
      <c r="AG20">
        <v>1.8</v>
      </c>
      <c r="AH20">
        <v>5</v>
      </c>
      <c r="AI20">
        <v>4.03</v>
      </c>
      <c r="AJ20">
        <v>3.09</v>
      </c>
    </row>
    <row r="21" spans="2:36" x14ac:dyDescent="0.35">
      <c r="B21">
        <v>15</v>
      </c>
      <c r="C21" t="s">
        <v>150</v>
      </c>
      <c r="D21" t="s">
        <v>84</v>
      </c>
      <c r="E21">
        <v>12</v>
      </c>
      <c r="F21">
        <v>17.399999999999999</v>
      </c>
      <c r="G21" s="1">
        <v>0.47</v>
      </c>
      <c r="H21" s="2">
        <v>3.2000000000000001E-2</v>
      </c>
      <c r="I21">
        <v>0.3</v>
      </c>
      <c r="J21">
        <v>5</v>
      </c>
      <c r="K21">
        <v>10.06</v>
      </c>
      <c r="L21">
        <v>9.0500000000000007</v>
      </c>
      <c r="N21">
        <v>15</v>
      </c>
      <c r="O21" t="s">
        <v>91</v>
      </c>
      <c r="P21" t="s">
        <v>138</v>
      </c>
      <c r="Q21">
        <v>8</v>
      </c>
      <c r="R21">
        <v>13.8</v>
      </c>
      <c r="S21" s="1">
        <v>0.61</v>
      </c>
      <c r="T21" s="2">
        <v>2.1999999999999999E-2</v>
      </c>
      <c r="U21">
        <v>3.3</v>
      </c>
      <c r="V21">
        <v>7</v>
      </c>
      <c r="W21">
        <v>4.12</v>
      </c>
      <c r="X21">
        <v>5.0599999999999996</v>
      </c>
      <c r="Z21">
        <v>15</v>
      </c>
      <c r="AA21" t="s">
        <v>76</v>
      </c>
      <c r="AB21" t="s">
        <v>132</v>
      </c>
      <c r="AC21">
        <v>12</v>
      </c>
      <c r="AD21">
        <v>14.5</v>
      </c>
      <c r="AE21" s="1">
        <v>0.67</v>
      </c>
      <c r="AF21" s="2">
        <v>1.9E-2</v>
      </c>
      <c r="AG21">
        <v>1.8</v>
      </c>
      <c r="AH21">
        <v>5</v>
      </c>
      <c r="AI21">
        <v>4.04</v>
      </c>
      <c r="AJ21">
        <v>4.0199999999999996</v>
      </c>
    </row>
    <row r="22" spans="2:36" x14ac:dyDescent="0.35">
      <c r="B22">
        <v>16</v>
      </c>
      <c r="C22" t="s">
        <v>151</v>
      </c>
      <c r="D22" t="s">
        <v>130</v>
      </c>
      <c r="E22">
        <v>8</v>
      </c>
      <c r="F22">
        <v>17.2</v>
      </c>
      <c r="G22" s="1">
        <v>0.44</v>
      </c>
      <c r="H22" s="2">
        <v>3.1E-2</v>
      </c>
      <c r="I22">
        <v>0.1</v>
      </c>
      <c r="J22">
        <v>6</v>
      </c>
      <c r="K22">
        <v>9.09</v>
      </c>
      <c r="L22">
        <v>9.1</v>
      </c>
      <c r="N22">
        <v>16</v>
      </c>
      <c r="O22" t="s">
        <v>88</v>
      </c>
      <c r="P22" t="s">
        <v>105</v>
      </c>
      <c r="Q22">
        <v>14</v>
      </c>
      <c r="R22">
        <v>13.7</v>
      </c>
      <c r="S22" s="1">
        <v>0.59</v>
      </c>
      <c r="T22" s="2">
        <v>2.1999999999999999E-2</v>
      </c>
      <c r="U22">
        <v>3.1</v>
      </c>
      <c r="V22">
        <v>7</v>
      </c>
      <c r="W22">
        <v>4.0999999999999996</v>
      </c>
      <c r="X22">
        <v>5.04</v>
      </c>
      <c r="Z22">
        <v>16</v>
      </c>
      <c r="AA22" t="s">
        <v>85</v>
      </c>
      <c r="AB22" t="s">
        <v>152</v>
      </c>
      <c r="AC22">
        <v>8</v>
      </c>
      <c r="AD22">
        <v>14.5</v>
      </c>
      <c r="AE22" s="1">
        <v>0.65</v>
      </c>
      <c r="AF22" s="2">
        <v>1.9E-2</v>
      </c>
      <c r="AG22">
        <v>1.8</v>
      </c>
      <c r="AH22">
        <v>5</v>
      </c>
      <c r="AI22">
        <v>3.1</v>
      </c>
      <c r="AJ22">
        <v>2.09</v>
      </c>
    </row>
    <row r="23" spans="2:36" x14ac:dyDescent="0.35">
      <c r="B23">
        <v>17</v>
      </c>
      <c r="C23" t="s">
        <v>153</v>
      </c>
      <c r="D23" t="s">
        <v>95</v>
      </c>
      <c r="E23">
        <v>14</v>
      </c>
      <c r="F23">
        <v>17</v>
      </c>
      <c r="G23" s="1">
        <v>0.4</v>
      </c>
      <c r="H23" s="2">
        <v>3.1E-2</v>
      </c>
      <c r="I23">
        <v>-0.1</v>
      </c>
      <c r="J23">
        <v>6</v>
      </c>
      <c r="K23">
        <v>11.1</v>
      </c>
      <c r="L23">
        <v>9.0500000000000007</v>
      </c>
      <c r="N23">
        <v>17</v>
      </c>
      <c r="O23" t="s">
        <v>97</v>
      </c>
      <c r="P23" t="s">
        <v>98</v>
      </c>
      <c r="Q23">
        <v>9</v>
      </c>
      <c r="R23">
        <v>13.4</v>
      </c>
      <c r="S23" s="1">
        <v>0.56999999999999995</v>
      </c>
      <c r="T23" s="2">
        <v>2.1000000000000001E-2</v>
      </c>
      <c r="U23">
        <v>2.8</v>
      </c>
      <c r="V23">
        <v>8</v>
      </c>
      <c r="W23">
        <v>4.0199999999999996</v>
      </c>
      <c r="X23">
        <v>4.12</v>
      </c>
      <c r="Z23">
        <v>17</v>
      </c>
      <c r="AA23" t="s">
        <v>74</v>
      </c>
      <c r="AB23" t="s">
        <v>54</v>
      </c>
      <c r="AC23">
        <v>8</v>
      </c>
      <c r="AD23">
        <v>14.4</v>
      </c>
      <c r="AE23" s="1">
        <v>0.63</v>
      </c>
      <c r="AF23" s="2">
        <v>1.9E-2</v>
      </c>
      <c r="AG23">
        <v>1.7</v>
      </c>
      <c r="AH23">
        <v>5</v>
      </c>
      <c r="AI23">
        <v>4.04</v>
      </c>
      <c r="AJ23">
        <v>3.1</v>
      </c>
    </row>
    <row r="24" spans="2:36" x14ac:dyDescent="0.35">
      <c r="B24">
        <v>18</v>
      </c>
      <c r="C24" t="s">
        <v>154</v>
      </c>
      <c r="D24" t="s">
        <v>136</v>
      </c>
      <c r="E24">
        <v>6</v>
      </c>
      <c r="F24">
        <v>16.899999999999999</v>
      </c>
      <c r="G24" s="1">
        <v>0.37</v>
      </c>
      <c r="H24" s="2">
        <v>3.1E-2</v>
      </c>
      <c r="I24">
        <v>-0.2</v>
      </c>
      <c r="J24">
        <v>6</v>
      </c>
      <c r="K24">
        <v>11.12</v>
      </c>
      <c r="L24">
        <v>10.1</v>
      </c>
      <c r="N24">
        <v>18</v>
      </c>
      <c r="O24" t="s">
        <v>96</v>
      </c>
      <c r="P24" t="s">
        <v>152</v>
      </c>
      <c r="Q24">
        <v>8</v>
      </c>
      <c r="R24">
        <v>13.2</v>
      </c>
      <c r="S24" s="1">
        <v>0.54</v>
      </c>
      <c r="T24" s="2">
        <v>2.1000000000000001E-2</v>
      </c>
      <c r="U24">
        <v>2.7</v>
      </c>
      <c r="V24">
        <v>8</v>
      </c>
      <c r="W24">
        <v>4.05</v>
      </c>
      <c r="X24">
        <v>4.09</v>
      </c>
      <c r="Z24">
        <v>18</v>
      </c>
      <c r="AA24" t="s">
        <v>102</v>
      </c>
      <c r="AB24" t="s">
        <v>98</v>
      </c>
      <c r="AC24">
        <v>9</v>
      </c>
      <c r="AD24">
        <v>14</v>
      </c>
      <c r="AE24" s="1">
        <v>0.62</v>
      </c>
      <c r="AF24" s="2">
        <v>1.9E-2</v>
      </c>
      <c r="AG24">
        <v>1.3</v>
      </c>
      <c r="AH24">
        <v>5</v>
      </c>
      <c r="AI24">
        <v>4.04</v>
      </c>
      <c r="AJ24">
        <v>3.03</v>
      </c>
    </row>
    <row r="25" spans="2:36" x14ac:dyDescent="0.35">
      <c r="B25">
        <v>19</v>
      </c>
      <c r="C25" t="s">
        <v>155</v>
      </c>
      <c r="D25" t="s">
        <v>139</v>
      </c>
      <c r="E25">
        <v>8</v>
      </c>
      <c r="F25">
        <v>16.7</v>
      </c>
      <c r="G25" s="1">
        <v>0.34</v>
      </c>
      <c r="H25" s="2">
        <v>3.1E-2</v>
      </c>
      <c r="I25">
        <v>-0.4</v>
      </c>
      <c r="J25">
        <v>6</v>
      </c>
      <c r="K25">
        <v>14.05</v>
      </c>
      <c r="L25">
        <v>10.050000000000001</v>
      </c>
      <c r="N25">
        <v>19</v>
      </c>
      <c r="O25" t="s">
        <v>87</v>
      </c>
      <c r="P25" t="s">
        <v>84</v>
      </c>
      <c r="Q25">
        <v>12</v>
      </c>
      <c r="R25">
        <v>13.1</v>
      </c>
      <c r="S25" s="1">
        <v>0.52</v>
      </c>
      <c r="T25" s="2">
        <v>2.1000000000000001E-2</v>
      </c>
      <c r="U25">
        <v>2.5</v>
      </c>
      <c r="V25">
        <v>8</v>
      </c>
      <c r="W25">
        <v>4</v>
      </c>
      <c r="X25">
        <v>4.09</v>
      </c>
      <c r="Z25">
        <v>19</v>
      </c>
      <c r="AA25" t="s">
        <v>86</v>
      </c>
      <c r="AB25" t="s">
        <v>156</v>
      </c>
      <c r="AC25">
        <v>5</v>
      </c>
      <c r="AD25">
        <v>14</v>
      </c>
      <c r="AE25" s="1">
        <v>0.6</v>
      </c>
      <c r="AF25" s="2">
        <v>1.9E-2</v>
      </c>
      <c r="AG25">
        <v>1.2</v>
      </c>
      <c r="AH25">
        <v>5</v>
      </c>
      <c r="AI25">
        <v>5.01</v>
      </c>
      <c r="AJ25">
        <v>4.1100000000000003</v>
      </c>
    </row>
    <row r="26" spans="2:36" x14ac:dyDescent="0.35">
      <c r="B26">
        <v>20</v>
      </c>
      <c r="C26" t="s">
        <v>157</v>
      </c>
      <c r="D26" t="s">
        <v>65</v>
      </c>
      <c r="E26">
        <v>5</v>
      </c>
      <c r="F26">
        <v>16.600000000000001</v>
      </c>
      <c r="G26" s="1">
        <v>0.31</v>
      </c>
      <c r="H26" s="2">
        <v>0.03</v>
      </c>
      <c r="I26">
        <v>-0.5</v>
      </c>
      <c r="J26">
        <v>6</v>
      </c>
      <c r="K26">
        <v>12.05</v>
      </c>
      <c r="L26">
        <v>10.050000000000001</v>
      </c>
      <c r="N26">
        <v>20</v>
      </c>
      <c r="O26" t="s">
        <v>158</v>
      </c>
      <c r="P26" t="s">
        <v>159</v>
      </c>
      <c r="Q26">
        <v>10</v>
      </c>
      <c r="R26">
        <v>12.7</v>
      </c>
      <c r="S26" s="1">
        <v>0.5</v>
      </c>
      <c r="T26" s="2">
        <v>0.02</v>
      </c>
      <c r="U26">
        <v>2.2000000000000002</v>
      </c>
      <c r="V26">
        <v>8</v>
      </c>
      <c r="W26">
        <v>6.06</v>
      </c>
      <c r="X26">
        <v>6.02</v>
      </c>
      <c r="Z26">
        <v>20</v>
      </c>
      <c r="AA26" t="s">
        <v>99</v>
      </c>
      <c r="AB26" t="s">
        <v>138</v>
      </c>
      <c r="AC26">
        <v>8</v>
      </c>
      <c r="AD26">
        <v>13.8</v>
      </c>
      <c r="AE26" s="1">
        <v>0.57999999999999996</v>
      </c>
      <c r="AF26" s="2">
        <v>1.7999999999999999E-2</v>
      </c>
      <c r="AG26">
        <v>1</v>
      </c>
      <c r="AH26">
        <v>5</v>
      </c>
      <c r="AI26">
        <v>4.05</v>
      </c>
      <c r="AJ26">
        <v>4.0199999999999996</v>
      </c>
    </row>
    <row r="27" spans="2:36" x14ac:dyDescent="0.35">
      <c r="B27">
        <v>21</v>
      </c>
      <c r="C27" t="s">
        <v>160</v>
      </c>
      <c r="D27" t="s">
        <v>105</v>
      </c>
      <c r="E27">
        <v>14</v>
      </c>
      <c r="F27">
        <v>15.9</v>
      </c>
      <c r="G27" s="1">
        <v>0.28000000000000003</v>
      </c>
      <c r="H27" s="2">
        <v>2.9000000000000001E-2</v>
      </c>
      <c r="I27">
        <v>-1.2</v>
      </c>
      <c r="J27">
        <v>7</v>
      </c>
      <c r="K27">
        <v>16.09</v>
      </c>
      <c r="L27">
        <v>12.07</v>
      </c>
      <c r="N27">
        <v>21</v>
      </c>
      <c r="O27" t="s">
        <v>94</v>
      </c>
      <c r="P27" t="s">
        <v>95</v>
      </c>
      <c r="Q27">
        <v>14</v>
      </c>
      <c r="R27">
        <v>12.4</v>
      </c>
      <c r="S27" s="1">
        <v>0.48</v>
      </c>
      <c r="T27" s="2">
        <v>0.02</v>
      </c>
      <c r="U27">
        <v>1.8</v>
      </c>
      <c r="V27">
        <v>9</v>
      </c>
      <c r="W27">
        <v>4.09</v>
      </c>
      <c r="X27">
        <v>5.0599999999999996</v>
      </c>
      <c r="Z27">
        <v>21</v>
      </c>
      <c r="AA27" t="s">
        <v>161</v>
      </c>
      <c r="AB27" t="s">
        <v>147</v>
      </c>
      <c r="AC27">
        <v>5</v>
      </c>
      <c r="AD27">
        <v>13.7</v>
      </c>
      <c r="AE27" s="1">
        <v>0.56000000000000005</v>
      </c>
      <c r="AF27" s="2">
        <v>1.7999999999999999E-2</v>
      </c>
      <c r="AG27">
        <v>1</v>
      </c>
      <c r="AH27">
        <v>5</v>
      </c>
      <c r="AI27">
        <v>5.0199999999999996</v>
      </c>
      <c r="AJ27">
        <v>4.07</v>
      </c>
    </row>
    <row r="28" spans="2:36" x14ac:dyDescent="0.35">
      <c r="B28">
        <v>22</v>
      </c>
      <c r="C28" t="s">
        <v>162</v>
      </c>
      <c r="D28" t="s">
        <v>125</v>
      </c>
      <c r="E28">
        <v>5</v>
      </c>
      <c r="F28">
        <v>15.9</v>
      </c>
      <c r="G28" s="1">
        <v>0.25</v>
      </c>
      <c r="H28" s="2">
        <v>2.9000000000000001E-2</v>
      </c>
      <c r="I28">
        <v>-1.2</v>
      </c>
      <c r="J28">
        <v>7</v>
      </c>
      <c r="K28">
        <v>16.059999999999999</v>
      </c>
      <c r="L28">
        <v>13.02</v>
      </c>
      <c r="N28">
        <v>22</v>
      </c>
      <c r="O28" t="s">
        <v>163</v>
      </c>
      <c r="P28" t="s">
        <v>131</v>
      </c>
      <c r="Q28">
        <v>6</v>
      </c>
      <c r="R28">
        <v>12.2</v>
      </c>
      <c r="S28" s="1">
        <v>0.46</v>
      </c>
      <c r="T28" s="2">
        <v>0.02</v>
      </c>
      <c r="U28">
        <v>1.6</v>
      </c>
      <c r="V28">
        <v>9</v>
      </c>
      <c r="W28">
        <v>6.05</v>
      </c>
      <c r="X28">
        <v>6.11</v>
      </c>
      <c r="Z28">
        <v>22</v>
      </c>
      <c r="AA28" t="s">
        <v>100</v>
      </c>
      <c r="AB28" t="s">
        <v>101</v>
      </c>
      <c r="AC28">
        <v>10</v>
      </c>
      <c r="AD28">
        <v>13.5</v>
      </c>
      <c r="AE28" s="1">
        <v>0.54</v>
      </c>
      <c r="AF28" s="2">
        <v>1.7999999999999999E-2</v>
      </c>
      <c r="AG28">
        <v>0.8</v>
      </c>
      <c r="AH28">
        <v>6</v>
      </c>
      <c r="AI28">
        <v>5.07</v>
      </c>
      <c r="AJ28">
        <v>5.07</v>
      </c>
    </row>
    <row r="29" spans="2:36" x14ac:dyDescent="0.35">
      <c r="B29">
        <v>23</v>
      </c>
      <c r="C29" t="s">
        <v>164</v>
      </c>
      <c r="D29" t="s">
        <v>133</v>
      </c>
      <c r="E29">
        <v>12</v>
      </c>
      <c r="F29">
        <v>15.8</v>
      </c>
      <c r="G29" s="1">
        <v>0.23</v>
      </c>
      <c r="H29" s="2">
        <v>2.9000000000000001E-2</v>
      </c>
      <c r="I29">
        <v>-1.2</v>
      </c>
      <c r="J29">
        <v>7</v>
      </c>
      <c r="K29">
        <v>15.07</v>
      </c>
      <c r="L29">
        <v>12.05</v>
      </c>
      <c r="N29">
        <v>23</v>
      </c>
      <c r="O29" t="s">
        <v>165</v>
      </c>
      <c r="P29" t="s">
        <v>147</v>
      </c>
      <c r="Q29">
        <v>5</v>
      </c>
      <c r="R29">
        <v>12.1</v>
      </c>
      <c r="S29" s="1">
        <v>0.44</v>
      </c>
      <c r="T29" s="2">
        <v>1.9E-2</v>
      </c>
      <c r="U29">
        <v>1.5</v>
      </c>
      <c r="V29">
        <v>9</v>
      </c>
      <c r="W29">
        <v>5.09</v>
      </c>
      <c r="X29">
        <v>6.04</v>
      </c>
      <c r="Z29">
        <v>23</v>
      </c>
      <c r="AA29" t="s">
        <v>103</v>
      </c>
      <c r="AB29" t="s">
        <v>127</v>
      </c>
      <c r="AC29">
        <v>7</v>
      </c>
      <c r="AD29">
        <v>13.3</v>
      </c>
      <c r="AE29" s="1">
        <v>0.52</v>
      </c>
      <c r="AF29" s="2">
        <v>1.7999999999999999E-2</v>
      </c>
      <c r="AG29">
        <v>0.5</v>
      </c>
      <c r="AH29">
        <v>6</v>
      </c>
      <c r="AI29">
        <v>6.02</v>
      </c>
      <c r="AJ29">
        <v>5.0999999999999996</v>
      </c>
    </row>
    <row r="30" spans="2:36" x14ac:dyDescent="0.35">
      <c r="B30">
        <v>24</v>
      </c>
      <c r="C30" t="s">
        <v>166</v>
      </c>
      <c r="D30" t="s">
        <v>58</v>
      </c>
      <c r="E30">
        <v>8</v>
      </c>
      <c r="F30">
        <v>15.7</v>
      </c>
      <c r="G30" s="1">
        <v>0.2</v>
      </c>
      <c r="H30" s="2">
        <v>2.9000000000000001E-2</v>
      </c>
      <c r="I30">
        <v>-1.4</v>
      </c>
      <c r="J30">
        <v>7</v>
      </c>
      <c r="K30">
        <v>18</v>
      </c>
      <c r="L30">
        <v>13.08</v>
      </c>
      <c r="N30">
        <v>24</v>
      </c>
      <c r="O30" t="s">
        <v>167</v>
      </c>
      <c r="P30" t="s">
        <v>130</v>
      </c>
      <c r="Q30">
        <v>8</v>
      </c>
      <c r="R30">
        <v>11.8</v>
      </c>
      <c r="S30" s="1">
        <v>0.42</v>
      </c>
      <c r="T30" s="2">
        <v>1.9E-2</v>
      </c>
      <c r="U30">
        <v>1.3</v>
      </c>
      <c r="V30">
        <v>9</v>
      </c>
      <c r="W30">
        <v>5.12</v>
      </c>
      <c r="X30">
        <v>6.09</v>
      </c>
      <c r="Z30">
        <v>24</v>
      </c>
      <c r="AA30" t="s">
        <v>168</v>
      </c>
      <c r="AB30" t="s">
        <v>105</v>
      </c>
      <c r="AC30">
        <v>14</v>
      </c>
      <c r="AD30">
        <v>13.2</v>
      </c>
      <c r="AE30" s="1">
        <v>0.51</v>
      </c>
      <c r="AF30" s="2">
        <v>1.7999999999999999E-2</v>
      </c>
      <c r="AG30">
        <v>0.5</v>
      </c>
      <c r="AH30">
        <v>6</v>
      </c>
      <c r="AI30">
        <v>5.1100000000000003</v>
      </c>
      <c r="AJ30">
        <v>4.0999999999999996</v>
      </c>
    </row>
    <row r="31" spans="2:36" x14ac:dyDescent="0.35">
      <c r="B31">
        <v>25</v>
      </c>
      <c r="C31" t="s">
        <v>169</v>
      </c>
      <c r="D31" t="s">
        <v>159</v>
      </c>
      <c r="E31">
        <v>10</v>
      </c>
      <c r="F31">
        <v>15.7</v>
      </c>
      <c r="G31" s="1">
        <v>0.17</v>
      </c>
      <c r="H31" s="2">
        <v>2.9000000000000001E-2</v>
      </c>
      <c r="I31">
        <v>-1.4</v>
      </c>
      <c r="J31">
        <v>7</v>
      </c>
      <c r="K31">
        <v>15.12</v>
      </c>
      <c r="L31">
        <v>15.04</v>
      </c>
      <c r="N31">
        <v>25</v>
      </c>
      <c r="O31" t="s">
        <v>170</v>
      </c>
      <c r="P31" t="s">
        <v>142</v>
      </c>
      <c r="Q31">
        <v>12</v>
      </c>
      <c r="R31">
        <v>11.2</v>
      </c>
      <c r="S31" s="1">
        <v>0.41</v>
      </c>
      <c r="T31" s="2">
        <v>1.7999999999999999E-2</v>
      </c>
      <c r="U31">
        <v>0.6</v>
      </c>
      <c r="V31">
        <v>10</v>
      </c>
      <c r="W31">
        <v>6.02</v>
      </c>
      <c r="X31">
        <v>6.07</v>
      </c>
      <c r="Z31">
        <v>25</v>
      </c>
      <c r="AA31" t="s">
        <v>171</v>
      </c>
      <c r="AB31" t="s">
        <v>142</v>
      </c>
      <c r="AC31">
        <v>12</v>
      </c>
      <c r="AD31">
        <v>13.2</v>
      </c>
      <c r="AE31" s="1">
        <v>0.49</v>
      </c>
      <c r="AF31" s="2">
        <v>1.7999999999999999E-2</v>
      </c>
      <c r="AG31">
        <v>0.4</v>
      </c>
      <c r="AH31">
        <v>6</v>
      </c>
      <c r="AI31">
        <v>5.05</v>
      </c>
      <c r="AJ31">
        <v>4.09</v>
      </c>
    </row>
    <row r="32" spans="2:36" x14ac:dyDescent="0.35">
      <c r="B32">
        <v>26</v>
      </c>
      <c r="C32" t="s">
        <v>172</v>
      </c>
      <c r="D32" t="s">
        <v>54</v>
      </c>
      <c r="E32">
        <v>8</v>
      </c>
      <c r="F32">
        <v>15.6</v>
      </c>
      <c r="G32" s="1">
        <v>0.14000000000000001</v>
      </c>
      <c r="H32" s="2">
        <v>2.8000000000000001E-2</v>
      </c>
      <c r="I32">
        <v>-1.5</v>
      </c>
      <c r="J32">
        <v>7</v>
      </c>
      <c r="K32">
        <v>16.010000000000002</v>
      </c>
      <c r="L32">
        <v>13.11</v>
      </c>
      <c r="N32">
        <v>26</v>
      </c>
      <c r="O32" t="s">
        <v>173</v>
      </c>
      <c r="P32" t="s">
        <v>101</v>
      </c>
      <c r="Q32">
        <v>10</v>
      </c>
      <c r="R32">
        <v>10.9</v>
      </c>
      <c r="S32" s="1">
        <v>0.39</v>
      </c>
      <c r="T32" s="2">
        <v>1.7999999999999999E-2</v>
      </c>
      <c r="U32">
        <v>0.4</v>
      </c>
      <c r="V32">
        <v>10</v>
      </c>
      <c r="W32">
        <v>6.01</v>
      </c>
      <c r="X32">
        <v>6.07</v>
      </c>
      <c r="Z32">
        <v>26</v>
      </c>
      <c r="AA32" t="s">
        <v>174</v>
      </c>
      <c r="AB32" t="s">
        <v>128</v>
      </c>
      <c r="AC32">
        <v>9</v>
      </c>
      <c r="AD32">
        <v>13</v>
      </c>
      <c r="AE32" s="1">
        <v>0.47</v>
      </c>
      <c r="AF32" s="2">
        <v>1.7000000000000001E-2</v>
      </c>
      <c r="AG32">
        <v>0.3</v>
      </c>
      <c r="AH32">
        <v>6</v>
      </c>
      <c r="AI32">
        <v>5.0999999999999996</v>
      </c>
      <c r="AJ32">
        <v>5.01</v>
      </c>
    </row>
    <row r="33" spans="2:36" x14ac:dyDescent="0.35">
      <c r="B33">
        <v>27</v>
      </c>
      <c r="C33" t="s">
        <v>175</v>
      </c>
      <c r="D33" t="s">
        <v>152</v>
      </c>
      <c r="E33">
        <v>8</v>
      </c>
      <c r="F33">
        <v>15.4</v>
      </c>
      <c r="G33" s="1">
        <v>0.11</v>
      </c>
      <c r="H33" s="2">
        <v>2.8000000000000001E-2</v>
      </c>
      <c r="I33">
        <v>-1.7</v>
      </c>
      <c r="J33">
        <v>7</v>
      </c>
      <c r="K33">
        <v>18.02</v>
      </c>
      <c r="L33">
        <v>15.09</v>
      </c>
      <c r="N33">
        <v>27</v>
      </c>
      <c r="O33" t="s">
        <v>176</v>
      </c>
      <c r="P33" t="s">
        <v>52</v>
      </c>
      <c r="Q33">
        <v>14</v>
      </c>
      <c r="R33">
        <v>10.8</v>
      </c>
      <c r="S33" s="1">
        <v>0.37</v>
      </c>
      <c r="T33" s="2">
        <v>1.7000000000000001E-2</v>
      </c>
      <c r="U33">
        <v>0.3</v>
      </c>
      <c r="V33">
        <v>10</v>
      </c>
      <c r="W33">
        <v>7.09</v>
      </c>
      <c r="X33">
        <v>7.09</v>
      </c>
      <c r="Z33">
        <v>27</v>
      </c>
      <c r="AA33" t="s">
        <v>177</v>
      </c>
      <c r="AB33" t="s">
        <v>178</v>
      </c>
      <c r="AC33">
        <v>9</v>
      </c>
      <c r="AD33">
        <v>13</v>
      </c>
      <c r="AE33" s="1">
        <v>0.45</v>
      </c>
      <c r="AF33" s="2">
        <v>1.7000000000000001E-2</v>
      </c>
      <c r="AG33">
        <v>0.3</v>
      </c>
      <c r="AH33">
        <v>6</v>
      </c>
      <c r="AI33">
        <v>7.02</v>
      </c>
      <c r="AJ33">
        <v>7.02</v>
      </c>
    </row>
    <row r="34" spans="2:36" x14ac:dyDescent="0.35">
      <c r="B34">
        <v>28</v>
      </c>
      <c r="C34" t="s">
        <v>179</v>
      </c>
      <c r="D34" t="s">
        <v>156</v>
      </c>
      <c r="E34">
        <v>5</v>
      </c>
      <c r="F34">
        <v>14.3</v>
      </c>
      <c r="G34" s="1">
        <v>0.09</v>
      </c>
      <c r="H34" s="2">
        <v>2.5999999999999999E-2</v>
      </c>
      <c r="I34">
        <v>-2.8</v>
      </c>
      <c r="J34">
        <v>8</v>
      </c>
      <c r="K34">
        <v>17.09</v>
      </c>
      <c r="L34">
        <v>18.07</v>
      </c>
      <c r="N34">
        <v>28</v>
      </c>
      <c r="O34" t="s">
        <v>180</v>
      </c>
      <c r="P34" t="s">
        <v>156</v>
      </c>
      <c r="Q34">
        <v>5</v>
      </c>
      <c r="R34">
        <v>10.7</v>
      </c>
      <c r="S34" s="1">
        <v>0.35</v>
      </c>
      <c r="T34" s="2">
        <v>1.7000000000000001E-2</v>
      </c>
      <c r="U34">
        <v>0.1</v>
      </c>
      <c r="V34">
        <v>10</v>
      </c>
      <c r="W34">
        <v>8.0399999999999991</v>
      </c>
      <c r="X34">
        <v>7.1</v>
      </c>
      <c r="Z34">
        <v>28</v>
      </c>
      <c r="AA34" t="s">
        <v>181</v>
      </c>
      <c r="AB34" t="s">
        <v>159</v>
      </c>
      <c r="AC34">
        <v>10</v>
      </c>
      <c r="AD34">
        <v>12.8</v>
      </c>
      <c r="AE34" s="1">
        <v>0.44</v>
      </c>
      <c r="AF34" s="2">
        <v>1.7000000000000001E-2</v>
      </c>
      <c r="AG34">
        <v>0</v>
      </c>
      <c r="AH34">
        <v>6</v>
      </c>
      <c r="AI34">
        <v>6.04</v>
      </c>
      <c r="AJ34">
        <v>5.08</v>
      </c>
    </row>
    <row r="35" spans="2:36" x14ac:dyDescent="0.35">
      <c r="B35">
        <v>29</v>
      </c>
      <c r="C35" t="s">
        <v>182</v>
      </c>
      <c r="D35" t="s">
        <v>143</v>
      </c>
      <c r="E35">
        <v>11</v>
      </c>
      <c r="F35">
        <v>13.9</v>
      </c>
      <c r="G35" s="1">
        <v>0.06</v>
      </c>
      <c r="H35" s="2">
        <v>2.5000000000000001E-2</v>
      </c>
      <c r="I35">
        <v>-3.2</v>
      </c>
      <c r="J35">
        <v>8</v>
      </c>
      <c r="K35">
        <v>22.08</v>
      </c>
      <c r="L35">
        <v>20.09</v>
      </c>
      <c r="N35">
        <v>29</v>
      </c>
      <c r="O35" t="s">
        <v>183</v>
      </c>
      <c r="P35" t="s">
        <v>132</v>
      </c>
      <c r="Q35">
        <v>12</v>
      </c>
      <c r="R35">
        <v>10.199999999999999</v>
      </c>
      <c r="S35" s="1">
        <v>0.34</v>
      </c>
      <c r="T35" s="2">
        <v>1.6E-2</v>
      </c>
      <c r="U35">
        <v>-0.4</v>
      </c>
      <c r="V35">
        <v>11</v>
      </c>
      <c r="W35">
        <v>10.07</v>
      </c>
      <c r="X35">
        <v>10.08</v>
      </c>
      <c r="Z35">
        <v>29</v>
      </c>
      <c r="AA35" t="s">
        <v>184</v>
      </c>
      <c r="AB35" t="s">
        <v>130</v>
      </c>
      <c r="AC35">
        <v>8</v>
      </c>
      <c r="AD35">
        <v>12.5</v>
      </c>
      <c r="AE35" s="1">
        <v>0.42</v>
      </c>
      <c r="AF35" s="2">
        <v>1.7000000000000001E-2</v>
      </c>
      <c r="AG35">
        <v>-0.3</v>
      </c>
      <c r="AH35">
        <v>6</v>
      </c>
      <c r="AI35">
        <v>6</v>
      </c>
      <c r="AJ35">
        <v>6.01</v>
      </c>
    </row>
    <row r="36" spans="2:36" x14ac:dyDescent="0.35">
      <c r="B36">
        <v>30</v>
      </c>
      <c r="C36" t="s">
        <v>185</v>
      </c>
      <c r="D36" t="s">
        <v>52</v>
      </c>
      <c r="E36">
        <v>14</v>
      </c>
      <c r="F36">
        <v>11.7</v>
      </c>
      <c r="G36" s="1">
        <v>0.04</v>
      </c>
      <c r="H36" s="2">
        <v>2.1000000000000001E-2</v>
      </c>
      <c r="I36">
        <v>-5.3</v>
      </c>
      <c r="J36">
        <v>9</v>
      </c>
      <c r="K36">
        <v>20.11</v>
      </c>
      <c r="L36">
        <v>21.12</v>
      </c>
      <c r="N36">
        <v>30</v>
      </c>
      <c r="O36" t="s">
        <v>186</v>
      </c>
      <c r="P36" t="s">
        <v>156</v>
      </c>
      <c r="Q36">
        <v>5</v>
      </c>
      <c r="R36">
        <v>10.199999999999999</v>
      </c>
      <c r="S36" s="1">
        <v>0.32</v>
      </c>
      <c r="T36" s="2">
        <v>1.6E-2</v>
      </c>
      <c r="U36">
        <v>-0.4</v>
      </c>
      <c r="V36">
        <v>11</v>
      </c>
      <c r="W36">
        <v>7.08</v>
      </c>
      <c r="X36">
        <v>8.07</v>
      </c>
      <c r="Z36">
        <v>30</v>
      </c>
      <c r="AA36" t="s">
        <v>187</v>
      </c>
      <c r="AB36" t="s">
        <v>129</v>
      </c>
      <c r="AC36">
        <v>10</v>
      </c>
      <c r="AD36">
        <v>12.4</v>
      </c>
      <c r="AE36" s="1">
        <v>0.4</v>
      </c>
      <c r="AF36" s="2">
        <v>1.7000000000000001E-2</v>
      </c>
      <c r="AG36">
        <v>-0.3</v>
      </c>
      <c r="AH36">
        <v>6</v>
      </c>
      <c r="AI36">
        <v>6.05</v>
      </c>
      <c r="AJ36">
        <v>5.09</v>
      </c>
    </row>
    <row r="37" spans="2:36" x14ac:dyDescent="0.35">
      <c r="B37">
        <v>31</v>
      </c>
      <c r="C37" t="s">
        <v>188</v>
      </c>
      <c r="D37" t="s">
        <v>93</v>
      </c>
      <c r="E37">
        <v>11</v>
      </c>
      <c r="F37">
        <v>11.5</v>
      </c>
      <c r="G37" s="1">
        <v>0.02</v>
      </c>
      <c r="H37" s="2">
        <v>2.1000000000000001E-2</v>
      </c>
      <c r="I37">
        <v>-5.6</v>
      </c>
      <c r="J37">
        <v>9</v>
      </c>
      <c r="K37">
        <v>29.01</v>
      </c>
      <c r="L37">
        <v>25.06</v>
      </c>
      <c r="N37">
        <v>31</v>
      </c>
      <c r="O37" t="s">
        <v>189</v>
      </c>
      <c r="P37" t="s">
        <v>152</v>
      </c>
      <c r="Q37">
        <v>8</v>
      </c>
      <c r="R37">
        <v>9.1999999999999993</v>
      </c>
      <c r="S37" s="1">
        <v>0.31</v>
      </c>
      <c r="T37" s="2">
        <v>1.4999999999999999E-2</v>
      </c>
      <c r="U37">
        <v>-1.3</v>
      </c>
      <c r="V37">
        <v>12</v>
      </c>
      <c r="W37">
        <v>10.039999999999999</v>
      </c>
      <c r="X37">
        <v>8.1199999999999992</v>
      </c>
      <c r="Z37">
        <v>31</v>
      </c>
      <c r="AA37" t="s">
        <v>190</v>
      </c>
      <c r="AB37" t="s">
        <v>133</v>
      </c>
      <c r="AC37">
        <v>12</v>
      </c>
      <c r="AD37">
        <v>12.3</v>
      </c>
      <c r="AE37" s="1">
        <v>0.39</v>
      </c>
      <c r="AF37" s="2">
        <v>1.6E-2</v>
      </c>
      <c r="AG37">
        <v>-0.4</v>
      </c>
      <c r="AH37">
        <v>7</v>
      </c>
      <c r="AI37">
        <v>6.12</v>
      </c>
      <c r="AJ37">
        <v>5.07</v>
      </c>
    </row>
    <row r="38" spans="2:36" x14ac:dyDescent="0.35">
      <c r="B38">
        <v>32</v>
      </c>
      <c r="C38" t="s">
        <v>191</v>
      </c>
      <c r="D38" t="s">
        <v>178</v>
      </c>
      <c r="E38">
        <v>9</v>
      </c>
      <c r="F38">
        <v>9.6</v>
      </c>
      <c r="G38" s="1">
        <v>0</v>
      </c>
      <c r="H38" s="2">
        <v>1.7999999999999999E-2</v>
      </c>
      <c r="I38">
        <v>-7.5</v>
      </c>
      <c r="J38">
        <v>10</v>
      </c>
      <c r="K38">
        <v>24.04</v>
      </c>
      <c r="L38">
        <v>23.04</v>
      </c>
      <c r="N38">
        <v>32</v>
      </c>
      <c r="O38" t="s">
        <v>192</v>
      </c>
      <c r="P38" t="s">
        <v>132</v>
      </c>
      <c r="Q38">
        <v>12</v>
      </c>
      <c r="R38">
        <v>9</v>
      </c>
      <c r="S38" s="1">
        <v>0.28999999999999998</v>
      </c>
      <c r="T38" s="2">
        <v>1.4E-2</v>
      </c>
      <c r="U38">
        <v>-1.6</v>
      </c>
      <c r="V38">
        <v>12</v>
      </c>
      <c r="W38">
        <v>9.07</v>
      </c>
      <c r="X38">
        <v>9.1199999999999992</v>
      </c>
      <c r="Z38">
        <v>32</v>
      </c>
      <c r="AA38" t="s">
        <v>193</v>
      </c>
      <c r="AB38" t="s">
        <v>132</v>
      </c>
      <c r="AC38">
        <v>12</v>
      </c>
      <c r="AD38">
        <v>11.8</v>
      </c>
      <c r="AE38" s="1">
        <v>0.37</v>
      </c>
      <c r="AF38" s="2">
        <v>1.6E-2</v>
      </c>
      <c r="AG38">
        <v>-1</v>
      </c>
      <c r="AH38">
        <v>7</v>
      </c>
      <c r="AI38">
        <v>8.01</v>
      </c>
      <c r="AJ38">
        <v>8.1199999999999992</v>
      </c>
    </row>
    <row r="39" spans="2:36" x14ac:dyDescent="0.35">
      <c r="N39">
        <v>33</v>
      </c>
      <c r="O39" t="s">
        <v>194</v>
      </c>
      <c r="P39" t="s">
        <v>129</v>
      </c>
      <c r="Q39">
        <v>10</v>
      </c>
      <c r="R39">
        <v>9</v>
      </c>
      <c r="S39" s="1">
        <v>0.28000000000000003</v>
      </c>
      <c r="T39" s="2">
        <v>1.4E-2</v>
      </c>
      <c r="U39">
        <v>-1.6</v>
      </c>
      <c r="V39">
        <v>12</v>
      </c>
      <c r="W39">
        <v>10.029999999999999</v>
      </c>
      <c r="X39">
        <v>9.08</v>
      </c>
      <c r="Z39">
        <v>33</v>
      </c>
      <c r="AA39" t="s">
        <v>195</v>
      </c>
      <c r="AB39" t="s">
        <v>139</v>
      </c>
      <c r="AC39">
        <v>8</v>
      </c>
      <c r="AD39">
        <v>11.8</v>
      </c>
      <c r="AE39" s="1">
        <v>0.36</v>
      </c>
      <c r="AF39" s="2">
        <v>1.6E-2</v>
      </c>
      <c r="AG39">
        <v>-1</v>
      </c>
      <c r="AH39">
        <v>7</v>
      </c>
      <c r="AI39">
        <v>6.1</v>
      </c>
      <c r="AJ39">
        <v>6.1</v>
      </c>
    </row>
    <row r="40" spans="2:36" x14ac:dyDescent="0.35">
      <c r="B40" t="s">
        <v>68</v>
      </c>
      <c r="N40">
        <v>34</v>
      </c>
      <c r="O40" t="s">
        <v>196</v>
      </c>
      <c r="P40" t="s">
        <v>139</v>
      </c>
      <c r="Q40">
        <v>8</v>
      </c>
      <c r="R40">
        <v>8.9</v>
      </c>
      <c r="S40" s="1">
        <v>0.26</v>
      </c>
      <c r="T40" s="2">
        <v>1.4E-2</v>
      </c>
      <c r="U40">
        <v>-1.7</v>
      </c>
      <c r="V40">
        <v>12</v>
      </c>
      <c r="W40">
        <v>9.0299999999999994</v>
      </c>
      <c r="X40">
        <v>8.06</v>
      </c>
      <c r="Z40">
        <v>34</v>
      </c>
      <c r="AA40" t="s">
        <v>197</v>
      </c>
      <c r="AB40" t="s">
        <v>58</v>
      </c>
      <c r="AC40">
        <v>8</v>
      </c>
      <c r="AD40">
        <v>11.7</v>
      </c>
      <c r="AE40" s="1">
        <v>0.34</v>
      </c>
      <c r="AF40" s="2">
        <v>1.6E-2</v>
      </c>
      <c r="AG40">
        <v>-1</v>
      </c>
      <c r="AH40">
        <v>7</v>
      </c>
      <c r="AI40">
        <v>8.06</v>
      </c>
      <c r="AJ40">
        <v>7.12</v>
      </c>
    </row>
    <row r="41" spans="2:36" x14ac:dyDescent="0.35">
      <c r="B41" t="s">
        <v>112</v>
      </c>
      <c r="C41" t="s">
        <v>113</v>
      </c>
      <c r="D41" t="s">
        <v>114</v>
      </c>
      <c r="E41" t="s">
        <v>115</v>
      </c>
      <c r="F41" t="s">
        <v>116</v>
      </c>
      <c r="G41" t="s">
        <v>117</v>
      </c>
      <c r="H41" t="s">
        <v>123</v>
      </c>
      <c r="I41" t="s">
        <v>119</v>
      </c>
      <c r="J41" t="s">
        <v>120</v>
      </c>
      <c r="K41" t="s">
        <v>121</v>
      </c>
      <c r="L41" t="s">
        <v>122</v>
      </c>
      <c r="N41">
        <v>35</v>
      </c>
      <c r="O41" t="s">
        <v>198</v>
      </c>
      <c r="P41" t="s">
        <v>142</v>
      </c>
      <c r="Q41">
        <v>12</v>
      </c>
      <c r="R41">
        <v>8.8000000000000007</v>
      </c>
      <c r="S41" s="1">
        <v>0.25</v>
      </c>
      <c r="T41" s="2">
        <v>1.4E-2</v>
      </c>
      <c r="U41">
        <v>-1.7</v>
      </c>
      <c r="V41">
        <v>12</v>
      </c>
      <c r="W41">
        <v>9.1</v>
      </c>
      <c r="X41">
        <v>9.11</v>
      </c>
      <c r="Z41">
        <v>35</v>
      </c>
      <c r="AA41" t="s">
        <v>199</v>
      </c>
      <c r="AB41" t="s">
        <v>95</v>
      </c>
      <c r="AC41">
        <v>14</v>
      </c>
      <c r="AD41">
        <v>11.6</v>
      </c>
      <c r="AE41" s="1">
        <v>0.33</v>
      </c>
      <c r="AF41" s="2">
        <v>1.4999999999999999E-2</v>
      </c>
      <c r="AG41">
        <v>-1.2</v>
      </c>
      <c r="AH41">
        <v>7</v>
      </c>
      <c r="AI41">
        <v>8.0299999999999994</v>
      </c>
      <c r="AJ41">
        <v>7.04</v>
      </c>
    </row>
    <row r="42" spans="2:36" x14ac:dyDescent="0.35">
      <c r="B42">
        <v>1</v>
      </c>
      <c r="C42" t="s">
        <v>67</v>
      </c>
      <c r="D42" t="s">
        <v>58</v>
      </c>
      <c r="E42">
        <v>8</v>
      </c>
      <c r="F42">
        <v>14.9</v>
      </c>
      <c r="G42" s="1">
        <v>0.95</v>
      </c>
      <c r="H42" s="2">
        <v>5.2999999999999999E-2</v>
      </c>
      <c r="I42">
        <v>6.1</v>
      </c>
      <c r="J42">
        <v>1</v>
      </c>
      <c r="K42">
        <v>2.08</v>
      </c>
      <c r="L42">
        <v>2.06</v>
      </c>
      <c r="N42">
        <v>36</v>
      </c>
      <c r="O42" t="s">
        <v>200</v>
      </c>
      <c r="P42" t="s">
        <v>95</v>
      </c>
      <c r="Q42">
        <v>14</v>
      </c>
      <c r="R42">
        <v>8.5</v>
      </c>
      <c r="S42" s="1">
        <v>0.24</v>
      </c>
      <c r="T42" s="2">
        <v>1.4E-2</v>
      </c>
      <c r="U42">
        <v>-2.1</v>
      </c>
      <c r="V42">
        <v>12</v>
      </c>
      <c r="W42">
        <v>10.07</v>
      </c>
      <c r="X42">
        <v>10.11</v>
      </c>
      <c r="Z42">
        <v>36</v>
      </c>
      <c r="AA42" t="s">
        <v>201</v>
      </c>
      <c r="AB42" t="s">
        <v>93</v>
      </c>
      <c r="AC42">
        <v>11</v>
      </c>
      <c r="AD42">
        <v>11.6</v>
      </c>
      <c r="AE42" s="1">
        <v>0.31</v>
      </c>
      <c r="AF42" s="2">
        <v>1.4999999999999999E-2</v>
      </c>
      <c r="AG42">
        <v>-1.2</v>
      </c>
      <c r="AH42">
        <v>7</v>
      </c>
      <c r="AI42">
        <v>7.1</v>
      </c>
      <c r="AJ42">
        <v>6.07</v>
      </c>
    </row>
    <row r="43" spans="2:36" x14ac:dyDescent="0.35">
      <c r="B43">
        <v>2</v>
      </c>
      <c r="C43" t="s">
        <v>69</v>
      </c>
      <c r="D43" t="s">
        <v>138</v>
      </c>
      <c r="E43">
        <v>8</v>
      </c>
      <c r="F43">
        <v>14.4</v>
      </c>
      <c r="G43" s="1">
        <v>0.9</v>
      </c>
      <c r="H43" s="2">
        <v>5.0999999999999997E-2</v>
      </c>
      <c r="I43">
        <v>5.6</v>
      </c>
      <c r="J43">
        <v>1</v>
      </c>
      <c r="K43">
        <v>3.04</v>
      </c>
      <c r="L43">
        <v>2.1</v>
      </c>
      <c r="N43">
        <v>37</v>
      </c>
      <c r="O43" t="s">
        <v>202</v>
      </c>
      <c r="P43" t="s">
        <v>178</v>
      </c>
      <c r="Q43">
        <v>9</v>
      </c>
      <c r="R43">
        <v>8.4</v>
      </c>
      <c r="S43" s="1">
        <v>0.22</v>
      </c>
      <c r="T43" s="2">
        <v>1.2999999999999999E-2</v>
      </c>
      <c r="U43">
        <v>-2.2000000000000002</v>
      </c>
      <c r="V43">
        <v>12</v>
      </c>
      <c r="W43">
        <v>14.07</v>
      </c>
      <c r="X43">
        <v>13.03</v>
      </c>
      <c r="Z43">
        <v>37</v>
      </c>
      <c r="AA43" t="s">
        <v>203</v>
      </c>
      <c r="AB43" t="s">
        <v>147</v>
      </c>
      <c r="AC43">
        <v>5</v>
      </c>
      <c r="AD43">
        <v>11.5</v>
      </c>
      <c r="AE43" s="1">
        <v>0.3</v>
      </c>
      <c r="AF43" s="2">
        <v>1.4999999999999999E-2</v>
      </c>
      <c r="AG43">
        <v>-1.3</v>
      </c>
      <c r="AH43">
        <v>7</v>
      </c>
      <c r="AI43">
        <v>7.1</v>
      </c>
      <c r="AJ43">
        <v>7.03</v>
      </c>
    </row>
    <row r="44" spans="2:36" x14ac:dyDescent="0.35">
      <c r="B44">
        <v>3</v>
      </c>
      <c r="C44" t="s">
        <v>90</v>
      </c>
      <c r="D44" t="s">
        <v>49</v>
      </c>
      <c r="E44">
        <v>14</v>
      </c>
      <c r="F44">
        <v>13</v>
      </c>
      <c r="G44" s="1">
        <v>0.85</v>
      </c>
      <c r="H44" s="2">
        <v>4.5999999999999999E-2</v>
      </c>
      <c r="I44">
        <v>4.2</v>
      </c>
      <c r="J44">
        <v>2</v>
      </c>
      <c r="K44">
        <v>4.0199999999999996</v>
      </c>
      <c r="L44">
        <v>3.08</v>
      </c>
      <c r="N44">
        <v>38</v>
      </c>
      <c r="O44" t="s">
        <v>204</v>
      </c>
      <c r="P44" t="s">
        <v>136</v>
      </c>
      <c r="Q44">
        <v>6</v>
      </c>
      <c r="R44">
        <v>8.1</v>
      </c>
      <c r="S44" s="1">
        <v>0.21</v>
      </c>
      <c r="T44" s="2">
        <v>1.2999999999999999E-2</v>
      </c>
      <c r="U44">
        <v>-2.5</v>
      </c>
      <c r="V44">
        <v>13</v>
      </c>
      <c r="W44">
        <v>10.02</v>
      </c>
      <c r="X44">
        <v>13.1</v>
      </c>
      <c r="Z44">
        <v>38</v>
      </c>
      <c r="AA44" t="s">
        <v>205</v>
      </c>
      <c r="AB44" t="s">
        <v>152</v>
      </c>
      <c r="AC44">
        <v>8</v>
      </c>
      <c r="AD44">
        <v>11.5</v>
      </c>
      <c r="AE44" s="1">
        <v>0.28000000000000003</v>
      </c>
      <c r="AF44" s="2">
        <v>1.4999999999999999E-2</v>
      </c>
      <c r="AG44">
        <v>-1.3</v>
      </c>
      <c r="AH44">
        <v>7</v>
      </c>
      <c r="AI44">
        <v>8.07</v>
      </c>
      <c r="AJ44">
        <v>10</v>
      </c>
    </row>
    <row r="45" spans="2:36" x14ac:dyDescent="0.35">
      <c r="B45">
        <v>4</v>
      </c>
      <c r="C45" t="s">
        <v>206</v>
      </c>
      <c r="D45" t="s">
        <v>101</v>
      </c>
      <c r="E45">
        <v>10</v>
      </c>
      <c r="F45">
        <v>11.2</v>
      </c>
      <c r="G45" s="1">
        <v>0.81</v>
      </c>
      <c r="H45" s="2">
        <v>0.04</v>
      </c>
      <c r="I45">
        <v>2.4</v>
      </c>
      <c r="J45">
        <v>3</v>
      </c>
      <c r="K45">
        <v>6.03</v>
      </c>
      <c r="L45">
        <v>7.05</v>
      </c>
      <c r="N45">
        <v>39</v>
      </c>
      <c r="O45" t="s">
        <v>207</v>
      </c>
      <c r="P45" t="s">
        <v>131</v>
      </c>
      <c r="Q45">
        <v>6</v>
      </c>
      <c r="R45">
        <v>7.9</v>
      </c>
      <c r="S45" s="1">
        <v>0.2</v>
      </c>
      <c r="T45" s="2">
        <v>1.2999999999999999E-2</v>
      </c>
      <c r="U45">
        <v>-2.6</v>
      </c>
      <c r="V45">
        <v>13</v>
      </c>
      <c r="W45">
        <v>9.06</v>
      </c>
      <c r="X45">
        <v>9.0299999999999994</v>
      </c>
      <c r="Z45">
        <v>39</v>
      </c>
      <c r="AA45" t="s">
        <v>208</v>
      </c>
      <c r="AB45" t="s">
        <v>65</v>
      </c>
      <c r="AC45">
        <v>5</v>
      </c>
      <c r="AD45">
        <v>11.4</v>
      </c>
      <c r="AE45" s="1">
        <v>0.27</v>
      </c>
      <c r="AF45" s="2">
        <v>1.4999999999999999E-2</v>
      </c>
      <c r="AG45">
        <v>-1.4</v>
      </c>
      <c r="AH45">
        <v>7</v>
      </c>
      <c r="AI45">
        <v>8.09</v>
      </c>
      <c r="AJ45">
        <v>9.0399999999999991</v>
      </c>
    </row>
    <row r="46" spans="2:36" x14ac:dyDescent="0.35">
      <c r="B46">
        <v>5</v>
      </c>
      <c r="C46" t="s">
        <v>209</v>
      </c>
      <c r="D46" t="s">
        <v>130</v>
      </c>
      <c r="E46">
        <v>8</v>
      </c>
      <c r="F46">
        <v>11.2</v>
      </c>
      <c r="G46" s="1">
        <v>0.77</v>
      </c>
      <c r="H46" s="2">
        <v>0.04</v>
      </c>
      <c r="I46">
        <v>2.4</v>
      </c>
      <c r="J46">
        <v>3</v>
      </c>
      <c r="K46">
        <v>5.05</v>
      </c>
      <c r="L46">
        <v>6.09</v>
      </c>
      <c r="N46">
        <v>40</v>
      </c>
      <c r="O46" t="s">
        <v>210</v>
      </c>
      <c r="P46" t="s">
        <v>72</v>
      </c>
      <c r="Q46">
        <v>9</v>
      </c>
      <c r="R46">
        <v>7.9</v>
      </c>
      <c r="S46" s="1">
        <v>0.18</v>
      </c>
      <c r="T46" s="2">
        <v>1.2999999999999999E-2</v>
      </c>
      <c r="U46">
        <v>-2.7</v>
      </c>
      <c r="V46">
        <v>13</v>
      </c>
      <c r="W46">
        <v>13.01</v>
      </c>
      <c r="X46">
        <v>11.12</v>
      </c>
      <c r="Z46">
        <v>40</v>
      </c>
      <c r="AA46" t="s">
        <v>211</v>
      </c>
      <c r="AB46" t="s">
        <v>143</v>
      </c>
      <c r="AC46">
        <v>11</v>
      </c>
      <c r="AD46">
        <v>11.3</v>
      </c>
      <c r="AE46" s="1">
        <v>0.25</v>
      </c>
      <c r="AF46" s="2">
        <v>1.4999999999999999E-2</v>
      </c>
      <c r="AG46">
        <v>-1.4</v>
      </c>
      <c r="AH46">
        <v>7</v>
      </c>
      <c r="AI46">
        <v>10.050000000000001</v>
      </c>
      <c r="AJ46">
        <v>9.0299999999999994</v>
      </c>
    </row>
    <row r="47" spans="2:36" x14ac:dyDescent="0.35">
      <c r="B47">
        <v>6</v>
      </c>
      <c r="C47" t="s">
        <v>212</v>
      </c>
      <c r="D47" t="s">
        <v>178</v>
      </c>
      <c r="E47">
        <v>9</v>
      </c>
      <c r="F47">
        <v>10.6</v>
      </c>
      <c r="G47" s="1">
        <v>0.73</v>
      </c>
      <c r="H47" s="2">
        <v>3.7999999999999999E-2</v>
      </c>
      <c r="I47">
        <v>1.8</v>
      </c>
      <c r="J47">
        <v>3</v>
      </c>
      <c r="K47">
        <v>8.01</v>
      </c>
      <c r="L47">
        <v>8.0399999999999991</v>
      </c>
      <c r="N47">
        <v>41</v>
      </c>
      <c r="O47" t="s">
        <v>213</v>
      </c>
      <c r="P47" t="s">
        <v>52</v>
      </c>
      <c r="Q47">
        <v>14</v>
      </c>
      <c r="R47">
        <v>7.1</v>
      </c>
      <c r="S47" s="1">
        <v>0.17</v>
      </c>
      <c r="T47" s="2">
        <v>1.0999999999999999E-2</v>
      </c>
      <c r="U47">
        <v>-3.4</v>
      </c>
      <c r="V47">
        <v>14</v>
      </c>
      <c r="W47">
        <v>9.07</v>
      </c>
      <c r="X47">
        <v>11.06</v>
      </c>
      <c r="Z47">
        <v>41</v>
      </c>
      <c r="AA47" t="s">
        <v>214</v>
      </c>
      <c r="AB47" t="s">
        <v>49</v>
      </c>
      <c r="AC47">
        <v>14</v>
      </c>
      <c r="AD47">
        <v>11.1</v>
      </c>
      <c r="AE47" s="1">
        <v>0.24</v>
      </c>
      <c r="AF47" s="2">
        <v>1.4999999999999999E-2</v>
      </c>
      <c r="AG47">
        <v>-1.6</v>
      </c>
      <c r="AH47">
        <v>7</v>
      </c>
      <c r="AI47">
        <v>8.0399999999999991</v>
      </c>
      <c r="AJ47">
        <v>7.08</v>
      </c>
    </row>
    <row r="48" spans="2:36" x14ac:dyDescent="0.35">
      <c r="B48">
        <v>7</v>
      </c>
      <c r="C48" t="s">
        <v>215</v>
      </c>
      <c r="D48" t="s">
        <v>131</v>
      </c>
      <c r="E48">
        <v>6</v>
      </c>
      <c r="F48">
        <v>10.4</v>
      </c>
      <c r="G48" s="1">
        <v>0.7</v>
      </c>
      <c r="H48" s="2">
        <v>3.6999999999999998E-2</v>
      </c>
      <c r="I48">
        <v>1.6</v>
      </c>
      <c r="J48">
        <v>4</v>
      </c>
      <c r="K48">
        <v>6.04</v>
      </c>
      <c r="L48">
        <v>6.08</v>
      </c>
      <c r="N48">
        <v>42</v>
      </c>
      <c r="O48" t="s">
        <v>216</v>
      </c>
      <c r="P48" t="s">
        <v>178</v>
      </c>
      <c r="Q48">
        <v>9</v>
      </c>
      <c r="R48">
        <v>7.1</v>
      </c>
      <c r="S48" s="1">
        <v>0.16</v>
      </c>
      <c r="T48" s="2">
        <v>1.0999999999999999E-2</v>
      </c>
      <c r="U48">
        <v>-3.5</v>
      </c>
      <c r="V48">
        <v>14</v>
      </c>
      <c r="W48">
        <v>10.11</v>
      </c>
      <c r="X48">
        <v>13.07</v>
      </c>
      <c r="Z48">
        <v>42</v>
      </c>
      <c r="AA48" t="s">
        <v>217</v>
      </c>
      <c r="AB48" t="s">
        <v>72</v>
      </c>
      <c r="AC48">
        <v>9</v>
      </c>
      <c r="AD48">
        <v>10.9</v>
      </c>
      <c r="AE48" s="1">
        <v>0.22</v>
      </c>
      <c r="AF48" s="2">
        <v>1.4E-2</v>
      </c>
      <c r="AG48">
        <v>-1.9</v>
      </c>
      <c r="AH48">
        <v>7</v>
      </c>
      <c r="AI48">
        <v>8.0500000000000007</v>
      </c>
      <c r="AJ48">
        <v>7.04</v>
      </c>
    </row>
    <row r="49" spans="2:36" x14ac:dyDescent="0.35">
      <c r="B49">
        <v>8</v>
      </c>
      <c r="C49" t="s">
        <v>218</v>
      </c>
      <c r="D49" t="s">
        <v>127</v>
      </c>
      <c r="E49">
        <v>7</v>
      </c>
      <c r="F49">
        <v>10.3</v>
      </c>
      <c r="G49" s="1">
        <v>0.66</v>
      </c>
      <c r="H49" s="2">
        <v>3.6999999999999998E-2</v>
      </c>
      <c r="I49">
        <v>1.5</v>
      </c>
      <c r="J49">
        <v>4</v>
      </c>
      <c r="K49">
        <v>7.02</v>
      </c>
      <c r="L49">
        <v>8.07</v>
      </c>
      <c r="N49">
        <v>43</v>
      </c>
      <c r="O49" t="s">
        <v>219</v>
      </c>
      <c r="P49" t="s">
        <v>178</v>
      </c>
      <c r="Q49">
        <v>9</v>
      </c>
      <c r="R49">
        <v>6.8</v>
      </c>
      <c r="S49" s="1">
        <v>0.15</v>
      </c>
      <c r="T49" s="2">
        <v>1.0999999999999999E-2</v>
      </c>
      <c r="U49">
        <v>-3.7</v>
      </c>
      <c r="V49">
        <v>14</v>
      </c>
      <c r="W49">
        <v>15.07</v>
      </c>
      <c r="X49">
        <v>13.09</v>
      </c>
      <c r="Z49">
        <v>43</v>
      </c>
      <c r="AA49" t="s">
        <v>220</v>
      </c>
      <c r="AB49" t="s">
        <v>49</v>
      </c>
      <c r="AC49">
        <v>14</v>
      </c>
      <c r="AD49">
        <v>10.8</v>
      </c>
      <c r="AE49" s="1">
        <v>0.21</v>
      </c>
      <c r="AF49" s="2">
        <v>1.4E-2</v>
      </c>
      <c r="AG49">
        <v>-2</v>
      </c>
      <c r="AH49">
        <v>7</v>
      </c>
      <c r="AI49">
        <v>10</v>
      </c>
      <c r="AJ49">
        <v>9.0399999999999991</v>
      </c>
    </row>
    <row r="50" spans="2:36" x14ac:dyDescent="0.35">
      <c r="B50">
        <v>9</v>
      </c>
      <c r="C50" t="s">
        <v>221</v>
      </c>
      <c r="D50" t="s">
        <v>143</v>
      </c>
      <c r="E50">
        <v>11</v>
      </c>
      <c r="F50">
        <v>9.4</v>
      </c>
      <c r="G50" s="1">
        <v>0.63</v>
      </c>
      <c r="H50" s="2">
        <v>3.3000000000000002E-2</v>
      </c>
      <c r="I50">
        <v>0.6</v>
      </c>
      <c r="J50">
        <v>5</v>
      </c>
      <c r="K50">
        <v>8.06</v>
      </c>
      <c r="L50">
        <v>9.0500000000000007</v>
      </c>
      <c r="N50">
        <v>44</v>
      </c>
      <c r="O50" t="s">
        <v>222</v>
      </c>
      <c r="P50" t="s">
        <v>129</v>
      </c>
      <c r="Q50">
        <v>10</v>
      </c>
      <c r="R50">
        <v>6.7</v>
      </c>
      <c r="S50" s="1">
        <v>0.14000000000000001</v>
      </c>
      <c r="T50" s="2">
        <v>1.0999999999999999E-2</v>
      </c>
      <c r="U50">
        <v>-3.8</v>
      </c>
      <c r="V50">
        <v>14</v>
      </c>
      <c r="W50">
        <v>12.1</v>
      </c>
      <c r="X50">
        <v>13.03</v>
      </c>
      <c r="Z50">
        <v>44</v>
      </c>
      <c r="AA50" t="s">
        <v>223</v>
      </c>
      <c r="AB50" t="s">
        <v>124</v>
      </c>
      <c r="AC50">
        <v>7</v>
      </c>
      <c r="AD50">
        <v>10.7</v>
      </c>
      <c r="AE50" s="1">
        <v>0.19</v>
      </c>
      <c r="AF50" s="2">
        <v>1.4E-2</v>
      </c>
      <c r="AG50">
        <v>-2.1</v>
      </c>
      <c r="AH50">
        <v>7</v>
      </c>
      <c r="AI50">
        <v>9.1</v>
      </c>
      <c r="AJ50">
        <v>8.11</v>
      </c>
    </row>
    <row r="51" spans="2:36" x14ac:dyDescent="0.35">
      <c r="B51">
        <v>10</v>
      </c>
      <c r="C51" t="s">
        <v>224</v>
      </c>
      <c r="D51" t="s">
        <v>142</v>
      </c>
      <c r="E51">
        <v>12</v>
      </c>
      <c r="F51">
        <v>9.3000000000000007</v>
      </c>
      <c r="G51" s="1">
        <v>0.59</v>
      </c>
      <c r="H51" s="2">
        <v>3.3000000000000002E-2</v>
      </c>
      <c r="I51">
        <v>0.5</v>
      </c>
      <c r="J51">
        <v>5</v>
      </c>
      <c r="K51">
        <v>8</v>
      </c>
      <c r="L51">
        <v>8.0500000000000007</v>
      </c>
      <c r="N51">
        <v>45</v>
      </c>
      <c r="O51" t="s">
        <v>225</v>
      </c>
      <c r="P51" t="s">
        <v>138</v>
      </c>
      <c r="Q51">
        <v>8</v>
      </c>
      <c r="R51">
        <v>6.7</v>
      </c>
      <c r="S51" s="1">
        <v>0.13</v>
      </c>
      <c r="T51" s="2">
        <v>1.0999999999999999E-2</v>
      </c>
      <c r="U51">
        <v>-3.9</v>
      </c>
      <c r="V51">
        <v>14</v>
      </c>
      <c r="W51">
        <v>14.01</v>
      </c>
      <c r="X51">
        <v>12.1</v>
      </c>
      <c r="Z51">
        <v>45</v>
      </c>
      <c r="AA51" t="s">
        <v>226</v>
      </c>
      <c r="AB51" t="s">
        <v>72</v>
      </c>
      <c r="AC51">
        <v>9</v>
      </c>
      <c r="AD51">
        <v>10.5</v>
      </c>
      <c r="AE51" s="1">
        <v>0.18</v>
      </c>
      <c r="AF51" s="2">
        <v>1.4E-2</v>
      </c>
      <c r="AG51">
        <v>-2.2999999999999998</v>
      </c>
      <c r="AH51">
        <v>8</v>
      </c>
      <c r="AI51">
        <v>9.08</v>
      </c>
      <c r="AJ51">
        <v>9.1199999999999992</v>
      </c>
    </row>
    <row r="52" spans="2:36" x14ac:dyDescent="0.35">
      <c r="B52">
        <v>11</v>
      </c>
      <c r="C52" t="s">
        <v>227</v>
      </c>
      <c r="D52" t="s">
        <v>129</v>
      </c>
      <c r="E52">
        <v>10</v>
      </c>
      <c r="F52">
        <v>9</v>
      </c>
      <c r="G52" s="1">
        <v>0.56000000000000005</v>
      </c>
      <c r="H52" s="2">
        <v>3.2000000000000001E-2</v>
      </c>
      <c r="I52">
        <v>0.2</v>
      </c>
      <c r="J52">
        <v>5</v>
      </c>
      <c r="K52">
        <v>12.06</v>
      </c>
      <c r="L52">
        <v>10.06</v>
      </c>
      <c r="N52">
        <v>46</v>
      </c>
      <c r="O52" t="s">
        <v>228</v>
      </c>
      <c r="P52" t="s">
        <v>136</v>
      </c>
      <c r="Q52">
        <v>6</v>
      </c>
      <c r="R52">
        <v>6.6</v>
      </c>
      <c r="S52" s="1">
        <v>0.12</v>
      </c>
      <c r="T52" s="2">
        <v>1.0999999999999999E-2</v>
      </c>
      <c r="U52">
        <v>-3.9</v>
      </c>
      <c r="V52">
        <v>14</v>
      </c>
      <c r="W52">
        <v>11.12</v>
      </c>
      <c r="X52">
        <v>13.08</v>
      </c>
      <c r="Z52">
        <v>46</v>
      </c>
      <c r="AA52" t="s">
        <v>229</v>
      </c>
      <c r="AB52" t="s">
        <v>125</v>
      </c>
      <c r="AC52">
        <v>5</v>
      </c>
      <c r="AD52">
        <v>10.3</v>
      </c>
      <c r="AE52" s="1">
        <v>0.16</v>
      </c>
      <c r="AF52" s="2">
        <v>1.4E-2</v>
      </c>
      <c r="AG52">
        <v>-2.4</v>
      </c>
      <c r="AH52">
        <v>8</v>
      </c>
      <c r="AI52">
        <v>12.08</v>
      </c>
      <c r="AJ52">
        <v>11.03</v>
      </c>
    </row>
    <row r="53" spans="2:36" x14ac:dyDescent="0.35">
      <c r="B53">
        <v>12</v>
      </c>
      <c r="C53" t="s">
        <v>230</v>
      </c>
      <c r="D53" t="s">
        <v>65</v>
      </c>
      <c r="E53">
        <v>5</v>
      </c>
      <c r="F53">
        <v>8.8000000000000007</v>
      </c>
      <c r="G53" s="1">
        <v>0.53</v>
      </c>
      <c r="H53" s="2">
        <v>3.1E-2</v>
      </c>
      <c r="I53">
        <v>0</v>
      </c>
      <c r="J53">
        <v>5</v>
      </c>
      <c r="K53">
        <v>10.029999999999999</v>
      </c>
      <c r="L53">
        <v>9.08</v>
      </c>
      <c r="N53">
        <v>47</v>
      </c>
      <c r="O53" t="s">
        <v>231</v>
      </c>
      <c r="P53" t="s">
        <v>139</v>
      </c>
      <c r="Q53">
        <v>8</v>
      </c>
      <c r="R53">
        <v>6.6</v>
      </c>
      <c r="S53" s="1">
        <v>0.11</v>
      </c>
      <c r="T53" s="2">
        <v>1.0999999999999999E-2</v>
      </c>
      <c r="U53">
        <v>-4</v>
      </c>
      <c r="V53">
        <v>14</v>
      </c>
      <c r="W53">
        <v>12.03</v>
      </c>
      <c r="X53">
        <v>11.02</v>
      </c>
      <c r="Z53">
        <v>47</v>
      </c>
      <c r="AA53" t="s">
        <v>232</v>
      </c>
      <c r="AB53" t="s">
        <v>143</v>
      </c>
      <c r="AC53">
        <v>11</v>
      </c>
      <c r="AD53">
        <v>10.199999999999999</v>
      </c>
      <c r="AE53" s="1">
        <v>0.15</v>
      </c>
      <c r="AF53" s="2">
        <v>1.4E-2</v>
      </c>
      <c r="AG53">
        <v>-2.5</v>
      </c>
      <c r="AH53">
        <v>8</v>
      </c>
      <c r="AI53">
        <v>11.07</v>
      </c>
      <c r="AJ53">
        <v>9.02</v>
      </c>
    </row>
    <row r="54" spans="2:36" x14ac:dyDescent="0.35">
      <c r="B54">
        <v>13</v>
      </c>
      <c r="C54" t="s">
        <v>233</v>
      </c>
      <c r="D54" t="s">
        <v>128</v>
      </c>
      <c r="E54">
        <v>9</v>
      </c>
      <c r="F54">
        <v>8.5</v>
      </c>
      <c r="G54" s="1">
        <v>0.5</v>
      </c>
      <c r="H54" s="2">
        <v>0.03</v>
      </c>
      <c r="I54">
        <v>-0.3</v>
      </c>
      <c r="J54">
        <v>5</v>
      </c>
      <c r="K54">
        <v>13.01</v>
      </c>
      <c r="L54">
        <v>12.01</v>
      </c>
      <c r="N54">
        <v>48</v>
      </c>
      <c r="O54" t="s">
        <v>234</v>
      </c>
      <c r="P54" t="s">
        <v>84</v>
      </c>
      <c r="Q54">
        <v>12</v>
      </c>
      <c r="R54">
        <v>6.2</v>
      </c>
      <c r="S54" s="1">
        <v>0.1</v>
      </c>
      <c r="T54" s="2">
        <v>0.01</v>
      </c>
      <c r="U54">
        <v>-4.3</v>
      </c>
      <c r="V54">
        <v>14</v>
      </c>
      <c r="W54">
        <v>12.02</v>
      </c>
      <c r="X54">
        <v>12.04</v>
      </c>
      <c r="Z54">
        <v>48</v>
      </c>
      <c r="AA54" t="s">
        <v>235</v>
      </c>
      <c r="AB54" t="s">
        <v>93</v>
      </c>
      <c r="AC54">
        <v>11</v>
      </c>
      <c r="AD54">
        <v>10.199999999999999</v>
      </c>
      <c r="AE54" s="1">
        <v>0.14000000000000001</v>
      </c>
      <c r="AF54" s="2">
        <v>1.4E-2</v>
      </c>
      <c r="AG54">
        <v>-2.5</v>
      </c>
      <c r="AH54">
        <v>8</v>
      </c>
      <c r="AI54">
        <v>13.03</v>
      </c>
      <c r="AJ54">
        <v>12.01</v>
      </c>
    </row>
    <row r="55" spans="2:36" x14ac:dyDescent="0.35">
      <c r="B55">
        <v>14</v>
      </c>
      <c r="C55" t="s">
        <v>236</v>
      </c>
      <c r="D55" t="s">
        <v>132</v>
      </c>
      <c r="E55">
        <v>12</v>
      </c>
      <c r="F55">
        <v>8.4</v>
      </c>
      <c r="G55" s="1">
        <v>0.47</v>
      </c>
      <c r="H55" s="2">
        <v>0.03</v>
      </c>
      <c r="I55">
        <v>-0.4</v>
      </c>
      <c r="J55">
        <v>6</v>
      </c>
      <c r="K55">
        <v>13.09</v>
      </c>
      <c r="L55">
        <v>14.08</v>
      </c>
      <c r="N55">
        <v>49</v>
      </c>
      <c r="O55" t="s">
        <v>237</v>
      </c>
      <c r="P55" t="s">
        <v>159</v>
      </c>
      <c r="Q55">
        <v>10</v>
      </c>
      <c r="R55">
        <v>6.1</v>
      </c>
      <c r="S55" s="1">
        <v>0.09</v>
      </c>
      <c r="T55" s="2">
        <v>0.01</v>
      </c>
      <c r="U55">
        <v>-4.4000000000000004</v>
      </c>
      <c r="V55">
        <v>14</v>
      </c>
      <c r="W55">
        <v>15.08</v>
      </c>
      <c r="X55">
        <v>13.06</v>
      </c>
      <c r="Z55">
        <v>49</v>
      </c>
      <c r="AA55" t="s">
        <v>238</v>
      </c>
      <c r="AB55" t="s">
        <v>124</v>
      </c>
      <c r="AC55">
        <v>7</v>
      </c>
      <c r="AD55">
        <v>10.1</v>
      </c>
      <c r="AE55" s="1">
        <v>0.12</v>
      </c>
      <c r="AF55" s="2">
        <v>1.2999999999999999E-2</v>
      </c>
      <c r="AG55">
        <v>-2.6</v>
      </c>
      <c r="AH55">
        <v>8</v>
      </c>
      <c r="AI55">
        <v>10.11</v>
      </c>
      <c r="AJ55">
        <v>11.06</v>
      </c>
    </row>
    <row r="56" spans="2:36" x14ac:dyDescent="0.35">
      <c r="B56">
        <v>15</v>
      </c>
      <c r="C56" t="s">
        <v>239</v>
      </c>
      <c r="D56" t="s">
        <v>125</v>
      </c>
      <c r="E56">
        <v>5</v>
      </c>
      <c r="F56">
        <v>8.4</v>
      </c>
      <c r="G56" s="1">
        <v>0.44</v>
      </c>
      <c r="H56" s="2">
        <v>0.03</v>
      </c>
      <c r="I56">
        <v>-0.4</v>
      </c>
      <c r="J56">
        <v>6</v>
      </c>
      <c r="K56">
        <v>12.03</v>
      </c>
      <c r="L56">
        <v>13.07</v>
      </c>
      <c r="N56">
        <v>50</v>
      </c>
      <c r="O56" t="s">
        <v>240</v>
      </c>
      <c r="P56" t="s">
        <v>139</v>
      </c>
      <c r="Q56">
        <v>8</v>
      </c>
      <c r="R56">
        <v>6</v>
      </c>
      <c r="S56" s="1">
        <v>0.08</v>
      </c>
      <c r="T56" s="2">
        <v>0.01</v>
      </c>
      <c r="U56">
        <v>-4.5999999999999996</v>
      </c>
      <c r="V56">
        <v>15</v>
      </c>
      <c r="W56">
        <v>13.06</v>
      </c>
      <c r="X56">
        <v>13.08</v>
      </c>
      <c r="Z56">
        <v>50</v>
      </c>
      <c r="AA56" t="s">
        <v>241</v>
      </c>
      <c r="AB56" t="s">
        <v>131</v>
      </c>
      <c r="AC56">
        <v>6</v>
      </c>
      <c r="AD56">
        <v>10.1</v>
      </c>
      <c r="AE56" s="1">
        <v>0.11</v>
      </c>
      <c r="AF56" s="2">
        <v>1.2999999999999999E-2</v>
      </c>
      <c r="AG56">
        <v>-2.6</v>
      </c>
      <c r="AH56">
        <v>8</v>
      </c>
      <c r="AI56">
        <v>8.11</v>
      </c>
      <c r="AJ56">
        <v>9</v>
      </c>
    </row>
    <row r="57" spans="2:36" x14ac:dyDescent="0.35">
      <c r="B57">
        <v>16</v>
      </c>
      <c r="C57" t="s">
        <v>242</v>
      </c>
      <c r="D57" t="s">
        <v>124</v>
      </c>
      <c r="E57">
        <v>7</v>
      </c>
      <c r="F57">
        <v>8.3000000000000007</v>
      </c>
      <c r="G57" s="1">
        <v>0.41</v>
      </c>
      <c r="H57" s="2">
        <v>0.03</v>
      </c>
      <c r="I57">
        <v>-0.5</v>
      </c>
      <c r="J57">
        <v>6</v>
      </c>
      <c r="K57">
        <v>11.09</v>
      </c>
      <c r="L57">
        <v>11.06</v>
      </c>
      <c r="N57">
        <v>51</v>
      </c>
      <c r="O57" t="s">
        <v>243</v>
      </c>
      <c r="P57" t="s">
        <v>125</v>
      </c>
      <c r="Q57">
        <v>5</v>
      </c>
      <c r="R57">
        <v>6</v>
      </c>
      <c r="S57" s="1">
        <v>7.0000000000000007E-2</v>
      </c>
      <c r="T57" s="2">
        <v>0.01</v>
      </c>
      <c r="U57">
        <v>-4.5999999999999996</v>
      </c>
      <c r="V57">
        <v>16</v>
      </c>
      <c r="W57">
        <v>15.01</v>
      </c>
      <c r="X57">
        <v>14</v>
      </c>
      <c r="Z57">
        <v>51</v>
      </c>
      <c r="AA57" t="s">
        <v>244</v>
      </c>
      <c r="AB57" t="s">
        <v>101</v>
      </c>
      <c r="AC57">
        <v>10</v>
      </c>
      <c r="AD57">
        <v>9.9</v>
      </c>
      <c r="AE57" s="1">
        <v>0.1</v>
      </c>
      <c r="AF57" s="2">
        <v>1.2999999999999999E-2</v>
      </c>
      <c r="AG57">
        <v>-2.8</v>
      </c>
      <c r="AH57">
        <v>8</v>
      </c>
      <c r="AI57">
        <v>6.1</v>
      </c>
      <c r="AJ57">
        <v>7.05</v>
      </c>
    </row>
    <row r="58" spans="2:36" x14ac:dyDescent="0.35">
      <c r="B58">
        <v>17</v>
      </c>
      <c r="C58" t="s">
        <v>245</v>
      </c>
      <c r="D58" t="s">
        <v>95</v>
      </c>
      <c r="E58">
        <v>14</v>
      </c>
      <c r="F58">
        <v>7.9</v>
      </c>
      <c r="G58" s="1">
        <v>0.38</v>
      </c>
      <c r="H58" s="2">
        <v>2.8000000000000001E-2</v>
      </c>
      <c r="I58">
        <v>-0.9</v>
      </c>
      <c r="J58">
        <v>6</v>
      </c>
      <c r="K58">
        <v>14.1</v>
      </c>
      <c r="L58">
        <v>13.04</v>
      </c>
      <c r="N58">
        <v>52</v>
      </c>
      <c r="O58" t="s">
        <v>246</v>
      </c>
      <c r="P58" t="s">
        <v>105</v>
      </c>
      <c r="Q58">
        <v>14</v>
      </c>
      <c r="R58">
        <v>5.9</v>
      </c>
      <c r="S58" s="1">
        <v>0.06</v>
      </c>
      <c r="T58" s="2">
        <v>8.9999999999999993E-3</v>
      </c>
      <c r="U58">
        <v>-4.7</v>
      </c>
      <c r="V58">
        <v>16</v>
      </c>
      <c r="W58">
        <v>16.09</v>
      </c>
      <c r="X58">
        <v>14.11</v>
      </c>
      <c r="Z58">
        <v>52</v>
      </c>
      <c r="AA58" t="s">
        <v>247</v>
      </c>
      <c r="AB58" t="s">
        <v>65</v>
      </c>
      <c r="AC58">
        <v>5</v>
      </c>
      <c r="AD58">
        <v>9.8000000000000007</v>
      </c>
      <c r="AE58" s="1">
        <v>0.08</v>
      </c>
      <c r="AF58" s="2">
        <v>1.2999999999999999E-2</v>
      </c>
      <c r="AG58">
        <v>-2.9</v>
      </c>
      <c r="AH58">
        <v>8</v>
      </c>
      <c r="AI58">
        <v>11.06</v>
      </c>
      <c r="AJ58">
        <v>10.07</v>
      </c>
    </row>
    <row r="59" spans="2:36" x14ac:dyDescent="0.35">
      <c r="B59">
        <v>18</v>
      </c>
      <c r="C59" t="s">
        <v>248</v>
      </c>
      <c r="D59" t="s">
        <v>147</v>
      </c>
      <c r="E59">
        <v>5</v>
      </c>
      <c r="F59">
        <v>7.9</v>
      </c>
      <c r="G59" s="1">
        <v>0.35</v>
      </c>
      <c r="H59" s="2">
        <v>2.8000000000000001E-2</v>
      </c>
      <c r="I59">
        <v>-0.9</v>
      </c>
      <c r="J59">
        <v>6</v>
      </c>
      <c r="K59">
        <v>10.08</v>
      </c>
      <c r="L59">
        <v>11.11</v>
      </c>
      <c r="N59">
        <v>53</v>
      </c>
      <c r="O59" t="s">
        <v>249</v>
      </c>
      <c r="P59" t="s">
        <v>124</v>
      </c>
      <c r="Q59">
        <v>7</v>
      </c>
      <c r="R59">
        <v>5.8</v>
      </c>
      <c r="S59" s="1">
        <v>0.05</v>
      </c>
      <c r="T59" s="2">
        <v>8.9999999999999993E-3</v>
      </c>
      <c r="U59">
        <v>-4.7</v>
      </c>
      <c r="V59">
        <v>16</v>
      </c>
      <c r="W59">
        <v>15.06</v>
      </c>
      <c r="X59">
        <v>13.02</v>
      </c>
      <c r="Z59">
        <v>53</v>
      </c>
      <c r="AA59" t="s">
        <v>250</v>
      </c>
      <c r="AB59" t="s">
        <v>142</v>
      </c>
      <c r="AC59">
        <v>12</v>
      </c>
      <c r="AD59">
        <v>9.5</v>
      </c>
      <c r="AE59" s="1">
        <v>7.0000000000000007E-2</v>
      </c>
      <c r="AF59" s="2">
        <v>1.2999999999999999E-2</v>
      </c>
      <c r="AG59">
        <v>-3.3</v>
      </c>
      <c r="AH59">
        <v>8</v>
      </c>
      <c r="AI59">
        <v>13.08</v>
      </c>
      <c r="AJ59">
        <v>13.01</v>
      </c>
    </row>
    <row r="60" spans="2:36" x14ac:dyDescent="0.35">
      <c r="B60">
        <v>19</v>
      </c>
      <c r="C60" t="s">
        <v>251</v>
      </c>
      <c r="D60" t="s">
        <v>159</v>
      </c>
      <c r="E60">
        <v>10</v>
      </c>
      <c r="F60">
        <v>7.8</v>
      </c>
      <c r="G60" s="1">
        <v>0.33</v>
      </c>
      <c r="H60" s="2">
        <v>2.8000000000000001E-2</v>
      </c>
      <c r="I60">
        <v>-1</v>
      </c>
      <c r="J60">
        <v>6</v>
      </c>
      <c r="K60">
        <v>17.03</v>
      </c>
      <c r="L60">
        <v>16.079999999999998</v>
      </c>
      <c r="N60">
        <v>54</v>
      </c>
      <c r="O60" t="s">
        <v>252</v>
      </c>
      <c r="P60" t="s">
        <v>98</v>
      </c>
      <c r="Q60">
        <v>9</v>
      </c>
      <c r="R60">
        <v>5.7</v>
      </c>
      <c r="S60" s="1">
        <v>0.04</v>
      </c>
      <c r="T60" s="2">
        <v>8.9999999999999993E-3</v>
      </c>
      <c r="U60">
        <v>-4.9000000000000004</v>
      </c>
      <c r="V60">
        <v>16</v>
      </c>
      <c r="W60">
        <v>12.08</v>
      </c>
      <c r="X60">
        <v>11.11</v>
      </c>
      <c r="Z60">
        <v>54</v>
      </c>
      <c r="AA60" t="s">
        <v>253</v>
      </c>
      <c r="AB60" t="s">
        <v>105</v>
      </c>
      <c r="AC60">
        <v>14</v>
      </c>
      <c r="AD60">
        <v>9.3000000000000007</v>
      </c>
      <c r="AE60" s="1">
        <v>0.06</v>
      </c>
      <c r="AF60" s="2">
        <v>1.2E-2</v>
      </c>
      <c r="AG60">
        <v>-3.5</v>
      </c>
      <c r="AH60">
        <v>8</v>
      </c>
      <c r="AI60">
        <v>15.11</v>
      </c>
      <c r="AJ60">
        <v>15.05</v>
      </c>
    </row>
    <row r="61" spans="2:36" x14ac:dyDescent="0.35">
      <c r="B61">
        <v>20</v>
      </c>
      <c r="C61" t="s">
        <v>254</v>
      </c>
      <c r="D61" t="s">
        <v>139</v>
      </c>
      <c r="E61">
        <v>8</v>
      </c>
      <c r="F61">
        <v>7.7</v>
      </c>
      <c r="G61" s="1">
        <v>0.3</v>
      </c>
      <c r="H61" s="2">
        <v>2.7E-2</v>
      </c>
      <c r="I61">
        <v>-1.1000000000000001</v>
      </c>
      <c r="J61">
        <v>6</v>
      </c>
      <c r="K61">
        <v>17.079999999999998</v>
      </c>
      <c r="L61">
        <v>15.06</v>
      </c>
      <c r="N61">
        <v>55</v>
      </c>
      <c r="O61" t="s">
        <v>255</v>
      </c>
      <c r="P61" t="s">
        <v>101</v>
      </c>
      <c r="Q61">
        <v>10</v>
      </c>
      <c r="R61">
        <v>5.5</v>
      </c>
      <c r="S61" s="1">
        <v>0.03</v>
      </c>
      <c r="T61" s="2">
        <v>8.9999999999999993E-3</v>
      </c>
      <c r="U61">
        <v>-5.0999999999999996</v>
      </c>
      <c r="V61">
        <v>16</v>
      </c>
      <c r="W61">
        <v>18.05</v>
      </c>
      <c r="X61">
        <v>19.09</v>
      </c>
      <c r="Z61">
        <v>55</v>
      </c>
      <c r="AA61" t="s">
        <v>256</v>
      </c>
      <c r="AB61" t="s">
        <v>178</v>
      </c>
      <c r="AC61">
        <v>9</v>
      </c>
      <c r="AD61">
        <v>9.1999999999999993</v>
      </c>
      <c r="AE61" s="1">
        <v>0.05</v>
      </c>
      <c r="AF61" s="2">
        <v>1.2E-2</v>
      </c>
      <c r="AG61">
        <v>-3.5</v>
      </c>
      <c r="AH61">
        <v>8</v>
      </c>
      <c r="AI61">
        <v>17.100000000000001</v>
      </c>
      <c r="AJ61">
        <v>13.03</v>
      </c>
    </row>
    <row r="62" spans="2:36" x14ac:dyDescent="0.35">
      <c r="B62">
        <v>21</v>
      </c>
      <c r="C62" t="s">
        <v>257</v>
      </c>
      <c r="D62" t="s">
        <v>72</v>
      </c>
      <c r="E62">
        <v>9</v>
      </c>
      <c r="F62">
        <v>7.5</v>
      </c>
      <c r="G62" s="1">
        <v>0.27</v>
      </c>
      <c r="H62" s="2">
        <v>2.7E-2</v>
      </c>
      <c r="I62">
        <v>-1.3</v>
      </c>
      <c r="J62">
        <v>6</v>
      </c>
      <c r="K62">
        <v>18.02</v>
      </c>
      <c r="L62">
        <v>18.059999999999999</v>
      </c>
      <c r="N62">
        <v>56</v>
      </c>
      <c r="O62" t="s">
        <v>258</v>
      </c>
      <c r="P62" t="s">
        <v>133</v>
      </c>
      <c r="Q62">
        <v>12</v>
      </c>
      <c r="R62">
        <v>5.0999999999999996</v>
      </c>
      <c r="S62" s="1">
        <v>0.02</v>
      </c>
      <c r="T62" s="2">
        <v>8.0000000000000002E-3</v>
      </c>
      <c r="U62">
        <v>-5.5</v>
      </c>
      <c r="V62">
        <v>16</v>
      </c>
      <c r="W62">
        <v>14.09</v>
      </c>
      <c r="X62">
        <v>16.05</v>
      </c>
      <c r="Z62">
        <v>56</v>
      </c>
      <c r="AA62" t="s">
        <v>259</v>
      </c>
      <c r="AB62" t="s">
        <v>127</v>
      </c>
      <c r="AC62">
        <v>7</v>
      </c>
      <c r="AD62">
        <v>9.1</v>
      </c>
      <c r="AE62" s="1">
        <v>0.04</v>
      </c>
      <c r="AF62" s="2">
        <v>1.2E-2</v>
      </c>
      <c r="AG62">
        <v>-3.7</v>
      </c>
      <c r="AH62">
        <v>9</v>
      </c>
      <c r="AI62">
        <v>15.04</v>
      </c>
      <c r="AJ62">
        <v>13.05</v>
      </c>
    </row>
    <row r="63" spans="2:36" x14ac:dyDescent="0.35">
      <c r="B63">
        <v>22</v>
      </c>
      <c r="C63" t="s">
        <v>260</v>
      </c>
      <c r="D63" t="s">
        <v>156</v>
      </c>
      <c r="E63">
        <v>5</v>
      </c>
      <c r="F63">
        <v>7.5</v>
      </c>
      <c r="G63" s="1">
        <v>0.24</v>
      </c>
      <c r="H63" s="2">
        <v>2.7E-2</v>
      </c>
      <c r="I63">
        <v>-1.3</v>
      </c>
      <c r="J63">
        <v>6</v>
      </c>
      <c r="K63">
        <v>13.07</v>
      </c>
      <c r="L63">
        <v>14.08</v>
      </c>
      <c r="N63">
        <v>57</v>
      </c>
      <c r="O63" t="s">
        <v>261</v>
      </c>
      <c r="P63" t="s">
        <v>93</v>
      </c>
      <c r="Q63">
        <v>11</v>
      </c>
      <c r="R63">
        <v>5.0999999999999996</v>
      </c>
      <c r="S63" s="1">
        <v>0.02</v>
      </c>
      <c r="T63" s="2">
        <v>8.0000000000000002E-3</v>
      </c>
      <c r="U63">
        <v>-5.5</v>
      </c>
      <c r="V63">
        <v>17</v>
      </c>
      <c r="W63">
        <v>21.1</v>
      </c>
      <c r="X63">
        <v>19.11</v>
      </c>
      <c r="Z63">
        <v>57</v>
      </c>
      <c r="AA63" t="s">
        <v>262</v>
      </c>
      <c r="AB63" t="s">
        <v>52</v>
      </c>
      <c r="AC63">
        <v>14</v>
      </c>
      <c r="AD63">
        <v>9</v>
      </c>
      <c r="AE63" s="1">
        <v>0.02</v>
      </c>
      <c r="AF63" s="2">
        <v>1.2E-2</v>
      </c>
      <c r="AG63">
        <v>-3.8</v>
      </c>
      <c r="AH63">
        <v>9</v>
      </c>
      <c r="AI63">
        <v>16.100000000000001</v>
      </c>
      <c r="AJ63">
        <v>14.01</v>
      </c>
    </row>
    <row r="64" spans="2:36" x14ac:dyDescent="0.35">
      <c r="B64">
        <v>23</v>
      </c>
      <c r="C64" t="s">
        <v>263</v>
      </c>
      <c r="D64" t="s">
        <v>133</v>
      </c>
      <c r="E64">
        <v>12</v>
      </c>
      <c r="F64">
        <v>7.2</v>
      </c>
      <c r="G64" s="1">
        <v>0.22</v>
      </c>
      <c r="H64" s="2">
        <v>2.5000000000000001E-2</v>
      </c>
      <c r="I64">
        <v>-1.6</v>
      </c>
      <c r="J64">
        <v>7</v>
      </c>
      <c r="K64">
        <v>17.05</v>
      </c>
      <c r="L64">
        <v>22.05</v>
      </c>
      <c r="N64">
        <v>58</v>
      </c>
      <c r="O64" t="s">
        <v>264</v>
      </c>
      <c r="P64" t="s">
        <v>127</v>
      </c>
      <c r="Q64">
        <v>7</v>
      </c>
      <c r="R64">
        <v>5</v>
      </c>
      <c r="S64" s="1">
        <v>0.01</v>
      </c>
      <c r="T64" s="2">
        <v>8.0000000000000002E-3</v>
      </c>
      <c r="U64">
        <v>-5.6</v>
      </c>
      <c r="V64">
        <v>18</v>
      </c>
      <c r="W64">
        <v>19.04</v>
      </c>
      <c r="X64">
        <v>19.010000000000002</v>
      </c>
      <c r="Z64">
        <v>58</v>
      </c>
      <c r="AA64" t="s">
        <v>265</v>
      </c>
      <c r="AB64" t="s">
        <v>101</v>
      </c>
      <c r="AC64">
        <v>10</v>
      </c>
      <c r="AD64">
        <v>8.9</v>
      </c>
      <c r="AE64" s="1">
        <v>0.01</v>
      </c>
      <c r="AF64" s="2">
        <v>1.2E-2</v>
      </c>
      <c r="AG64">
        <v>-3.9</v>
      </c>
      <c r="AH64">
        <v>9</v>
      </c>
      <c r="AI64">
        <v>15.04</v>
      </c>
      <c r="AJ64">
        <v>14.07</v>
      </c>
    </row>
    <row r="65" spans="2:36" x14ac:dyDescent="0.35">
      <c r="B65">
        <v>24</v>
      </c>
      <c r="C65" t="s">
        <v>266</v>
      </c>
      <c r="D65" t="s">
        <v>98</v>
      </c>
      <c r="E65">
        <v>9</v>
      </c>
      <c r="F65">
        <v>7.2</v>
      </c>
      <c r="G65" s="1">
        <v>0.19</v>
      </c>
      <c r="H65" s="2">
        <v>2.5000000000000001E-2</v>
      </c>
      <c r="I65">
        <v>-1.6</v>
      </c>
      <c r="J65">
        <v>7</v>
      </c>
      <c r="K65">
        <v>19.11</v>
      </c>
      <c r="L65">
        <v>18.09</v>
      </c>
      <c r="N65">
        <v>59</v>
      </c>
      <c r="O65" t="s">
        <v>267</v>
      </c>
      <c r="P65" t="s">
        <v>147</v>
      </c>
      <c r="Q65">
        <v>5</v>
      </c>
      <c r="R65">
        <v>4.9000000000000004</v>
      </c>
      <c r="S65" s="1">
        <v>0</v>
      </c>
      <c r="T65" s="2">
        <v>8.0000000000000002E-3</v>
      </c>
      <c r="U65">
        <v>-5.7</v>
      </c>
      <c r="V65">
        <v>18</v>
      </c>
      <c r="W65">
        <v>21.03</v>
      </c>
      <c r="X65">
        <v>17.09</v>
      </c>
      <c r="Z65">
        <v>59</v>
      </c>
      <c r="AA65" t="s">
        <v>268</v>
      </c>
      <c r="AB65" t="s">
        <v>84</v>
      </c>
      <c r="AC65">
        <v>12</v>
      </c>
      <c r="AD65">
        <v>8.6999999999999993</v>
      </c>
      <c r="AE65" s="1">
        <v>0</v>
      </c>
      <c r="AF65" s="2">
        <v>1.2E-2</v>
      </c>
      <c r="AG65">
        <v>-4</v>
      </c>
      <c r="AH65">
        <v>9</v>
      </c>
      <c r="AI65">
        <v>13.02</v>
      </c>
      <c r="AJ65">
        <v>13.06</v>
      </c>
    </row>
    <row r="66" spans="2:36" x14ac:dyDescent="0.35">
      <c r="B66">
        <v>25</v>
      </c>
      <c r="C66" t="s">
        <v>269</v>
      </c>
      <c r="D66" t="s">
        <v>126</v>
      </c>
      <c r="E66">
        <v>10</v>
      </c>
      <c r="F66">
        <v>7.2</v>
      </c>
      <c r="G66" s="1">
        <v>0.17</v>
      </c>
      <c r="H66" s="2">
        <v>2.5000000000000001E-2</v>
      </c>
      <c r="I66">
        <v>-1.7</v>
      </c>
      <c r="J66">
        <v>7</v>
      </c>
      <c r="K66">
        <v>19.079999999999998</v>
      </c>
      <c r="L66">
        <v>18.04</v>
      </c>
    </row>
    <row r="67" spans="2:36" x14ac:dyDescent="0.35">
      <c r="B67">
        <v>26</v>
      </c>
      <c r="C67" t="s">
        <v>270</v>
      </c>
      <c r="D67" t="s">
        <v>156</v>
      </c>
      <c r="E67">
        <v>5</v>
      </c>
      <c r="F67">
        <v>7.1</v>
      </c>
      <c r="G67" s="1">
        <v>0.14000000000000001</v>
      </c>
      <c r="H67" s="2">
        <v>2.5000000000000001E-2</v>
      </c>
      <c r="I67">
        <v>-1.7</v>
      </c>
      <c r="J67">
        <v>7</v>
      </c>
      <c r="K67">
        <v>17.05</v>
      </c>
      <c r="L67">
        <v>18.07</v>
      </c>
      <c r="N67" t="s">
        <v>271</v>
      </c>
      <c r="AE67" t="s">
        <v>272</v>
      </c>
    </row>
    <row r="68" spans="2:36" x14ac:dyDescent="0.35">
      <c r="B68">
        <v>27</v>
      </c>
      <c r="C68" t="s">
        <v>273</v>
      </c>
      <c r="D68" t="s">
        <v>136</v>
      </c>
      <c r="E68">
        <v>6</v>
      </c>
      <c r="F68">
        <v>7</v>
      </c>
      <c r="G68" s="1">
        <v>0.12</v>
      </c>
      <c r="H68" s="2">
        <v>2.5000000000000001E-2</v>
      </c>
      <c r="I68">
        <v>-1.8</v>
      </c>
      <c r="J68">
        <v>7</v>
      </c>
      <c r="K68">
        <v>21.03</v>
      </c>
      <c r="L68">
        <v>20.07</v>
      </c>
      <c r="N68" t="s">
        <v>274</v>
      </c>
    </row>
    <row r="69" spans="2:36" x14ac:dyDescent="0.35">
      <c r="B69">
        <v>28</v>
      </c>
      <c r="C69" t="s">
        <v>275</v>
      </c>
      <c r="D69" t="s">
        <v>152</v>
      </c>
      <c r="E69">
        <v>8</v>
      </c>
      <c r="F69">
        <v>6.8</v>
      </c>
      <c r="G69" s="1">
        <v>0.09</v>
      </c>
      <c r="H69" s="2">
        <v>2.4E-2</v>
      </c>
      <c r="I69">
        <v>-2</v>
      </c>
      <c r="J69">
        <v>7</v>
      </c>
      <c r="K69">
        <v>42.02</v>
      </c>
      <c r="L69" t="e">
        <v>#N/A</v>
      </c>
      <c r="N69" t="s">
        <v>276</v>
      </c>
      <c r="X69" t="s">
        <v>277</v>
      </c>
    </row>
    <row r="70" spans="2:36" x14ac:dyDescent="0.35">
      <c r="B70">
        <v>29</v>
      </c>
      <c r="C70" t="s">
        <v>278</v>
      </c>
      <c r="D70" t="s">
        <v>93</v>
      </c>
      <c r="E70">
        <v>11</v>
      </c>
      <c r="F70">
        <v>6.8</v>
      </c>
      <c r="G70" s="1">
        <v>7.0000000000000007E-2</v>
      </c>
      <c r="H70" s="2">
        <v>2.4E-2</v>
      </c>
      <c r="I70">
        <v>-2</v>
      </c>
      <c r="J70">
        <v>7</v>
      </c>
      <c r="K70">
        <v>24.02</v>
      </c>
      <c r="L70">
        <v>21.05</v>
      </c>
      <c r="N70" t="s">
        <v>279</v>
      </c>
      <c r="X70" t="s">
        <v>280</v>
      </c>
    </row>
    <row r="71" spans="2:36" x14ac:dyDescent="0.35">
      <c r="B71">
        <v>30</v>
      </c>
      <c r="C71" t="s">
        <v>281</v>
      </c>
      <c r="D71" t="s">
        <v>52</v>
      </c>
      <c r="E71">
        <v>14</v>
      </c>
      <c r="F71">
        <v>6.7</v>
      </c>
      <c r="G71" s="1">
        <v>0.05</v>
      </c>
      <c r="H71" s="2">
        <v>2.4E-2</v>
      </c>
      <c r="I71">
        <v>-2.1</v>
      </c>
      <c r="J71">
        <v>7</v>
      </c>
      <c r="K71">
        <v>24.04</v>
      </c>
      <c r="L71">
        <v>21.08</v>
      </c>
      <c r="N71" t="s">
        <v>282</v>
      </c>
    </row>
    <row r="72" spans="2:36" x14ac:dyDescent="0.35">
      <c r="B72">
        <v>31</v>
      </c>
      <c r="C72" t="s">
        <v>283</v>
      </c>
      <c r="D72" t="s">
        <v>127</v>
      </c>
      <c r="E72">
        <v>7</v>
      </c>
      <c r="F72">
        <v>6.7</v>
      </c>
      <c r="G72" s="1">
        <v>0.02</v>
      </c>
      <c r="H72" s="2">
        <v>2.4E-2</v>
      </c>
      <c r="I72">
        <v>-2.1</v>
      </c>
      <c r="J72">
        <v>7</v>
      </c>
      <c r="K72">
        <v>16.07</v>
      </c>
      <c r="L72">
        <v>19.02</v>
      </c>
      <c r="N72" t="s">
        <v>284</v>
      </c>
      <c r="X72" t="s">
        <v>285</v>
      </c>
    </row>
    <row r="73" spans="2:36" x14ac:dyDescent="0.35">
      <c r="B73">
        <v>32</v>
      </c>
      <c r="C73" t="s">
        <v>286</v>
      </c>
      <c r="D73" t="s">
        <v>54</v>
      </c>
      <c r="E73">
        <v>8</v>
      </c>
      <c r="F73">
        <v>6.5</v>
      </c>
      <c r="G73" s="1">
        <v>0</v>
      </c>
      <c r="H73" s="2">
        <v>2.3E-2</v>
      </c>
      <c r="I73">
        <v>-2.2999999999999998</v>
      </c>
      <c r="J73">
        <v>7</v>
      </c>
      <c r="K73">
        <v>26.02</v>
      </c>
      <c r="L73">
        <v>24.03</v>
      </c>
      <c r="N73" t="s">
        <v>287</v>
      </c>
    </row>
    <row r="74" spans="2:36" x14ac:dyDescent="0.35">
      <c r="N74" t="s">
        <v>288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828FBA-F91B-40E0-8254-8A919C6B45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Previous Draft Results</vt:lpstr>
      <vt:lpstr>Player Projections</vt:lpstr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2025-12-17T00:42:41Z</dcterms:created>
  <dcterms:modified xsi:type="dcterms:W3CDTF">2025-12-17T18:10:25Z</dcterms:modified>
</cp:coreProperties>
</file>