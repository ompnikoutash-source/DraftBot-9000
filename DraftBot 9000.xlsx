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koutash/DraftBot9000/"/>
    </mc:Choice>
  </mc:AlternateContent>
  <xr:revisionPtr revIDLastSave="0" documentId="13_ncr:1_{AAF53D12-18DB-7E40-9F98-F8335FF3AFA6}" xr6:coauthVersionLast="47" xr6:coauthVersionMax="47" xr10:uidLastSave="{00000000-0000-0000-0000-000000000000}"/>
  <bookViews>
    <workbookView xWindow="0" yWindow="620" windowWidth="35840" windowHeight="20300" activeTab="4" xr2:uid="{08158846-B3FB-42A5-95F5-B4002A48E6D1}"/>
  </bookViews>
  <sheets>
    <sheet name="Overview" sheetId="1" r:id="rId1"/>
    <sheet name="Previous Draft Results" sheetId="4" r:id="rId2"/>
    <sheet name="Player Projections" sheetId="8" r:id="rId3"/>
    <sheet name="Draft Results 1" sheetId="12" r:id="rId4"/>
    <sheet name="Draft Results 2" sheetId="15" r:id="rId5"/>
    <sheet name="Draft Results 3" sheetId="16" r:id="rId6"/>
    <sheet name="Draft Results 4" sheetId="17" r:id="rId7"/>
    <sheet name="Draft Results 5" sheetId="18" r:id="rId8"/>
    <sheet name="Players" sheetId="2" state="hidden" r:id="rId9"/>
  </sheets>
  <definedNames>
    <definedName name="solver_adj" localSheetId="0" hidden="1">Overview!$O$11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Overview!$P$11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1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8" l="1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2" i="8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P10" i="1"/>
  <c r="P9" i="1"/>
  <c r="P8" i="1"/>
  <c r="P7" i="1"/>
  <c r="P6" i="1"/>
  <c r="P5" i="1"/>
  <c r="P4" i="1"/>
  <c r="O5" i="1"/>
  <c r="O6" i="1"/>
  <c r="O7" i="1"/>
  <c r="O8" i="1"/>
  <c r="O9" i="1"/>
  <c r="O10" i="1"/>
  <c r="O4" i="1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P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6CB0D9-B98B-4938-8A51-07AADDD3DFAF}" keepAlive="1" name="Query - HTML Code" description="Connection to the 'HTML Code' query in the workbook." type="5" refreshedVersion="0" background="1">
    <dbPr connection="Provider=Microsoft.Mashup.OleDb.1;Data Source=$Workbook$;Location=&quot;HTML Code&quot;;Extended Properties=&quot;&quot;" command="SELECT * FROM [HTML Code]"/>
  </connection>
</connections>
</file>

<file path=xl/sharedStrings.xml><?xml version="1.0" encoding="utf-8"?>
<sst xmlns="http://schemas.openxmlformats.org/spreadsheetml/2006/main" count="2665" uniqueCount="573">
  <si>
    <t>Q</t>
  </si>
  <si>
    <t>W</t>
  </si>
  <si>
    <t>R</t>
  </si>
  <si>
    <t>W/R</t>
  </si>
  <si>
    <t>T</t>
  </si>
  <si>
    <t>D</t>
  </si>
  <si>
    <t>K</t>
  </si>
  <si>
    <t>Return TD</t>
  </si>
  <si>
    <t>Offense</t>
  </si>
  <si>
    <t>Kicker</t>
  </si>
  <si>
    <t>0-19</t>
  </si>
  <si>
    <t>20-29</t>
  </si>
  <si>
    <t>30-39</t>
  </si>
  <si>
    <t>40-49</t>
  </si>
  <si>
    <t>50+</t>
  </si>
  <si>
    <t>Sack</t>
  </si>
  <si>
    <t>Ja'Marr Chase</t>
  </si>
  <si>
    <t>WR</t>
  </si>
  <si>
    <t>Bijan Robinson</t>
  </si>
  <si>
    <t>RB</t>
  </si>
  <si>
    <t>Justin Jefferson</t>
  </si>
  <si>
    <t>Saquon Barkley</t>
  </si>
  <si>
    <t>Jahmyr Gibbs</t>
  </si>
  <si>
    <t>Christian McCaffrey</t>
  </si>
  <si>
    <t>SF</t>
  </si>
  <si>
    <t>CeeDee Lamb</t>
  </si>
  <si>
    <t>Malik Nabers</t>
  </si>
  <si>
    <t>NYG</t>
  </si>
  <si>
    <t>Puka Nacua</t>
  </si>
  <si>
    <t>LAR</t>
  </si>
  <si>
    <t>Derrick Henry</t>
  </si>
  <si>
    <t>Amon-Ra St. Brown</t>
  </si>
  <si>
    <t>Ashton Jeanty</t>
  </si>
  <si>
    <t>LV</t>
  </si>
  <si>
    <t>Nico Collins</t>
  </si>
  <si>
    <t>Brian Thomas Jr.</t>
  </si>
  <si>
    <t>A.J. Brown</t>
  </si>
  <si>
    <t>Tee Higgins</t>
  </si>
  <si>
    <t>Jonathan Taylor</t>
  </si>
  <si>
    <t>Josh Jacobs</t>
  </si>
  <si>
    <t>GB</t>
  </si>
  <si>
    <t>De'Von Achane</t>
  </si>
  <si>
    <t>Brock Bowers</t>
  </si>
  <si>
    <t>TE</t>
  </si>
  <si>
    <t>Trey McBride</t>
  </si>
  <si>
    <t>Kyren Williams</t>
  </si>
  <si>
    <t>Bucky Irving</t>
  </si>
  <si>
    <t>TB</t>
  </si>
  <si>
    <t>Drake London</t>
  </si>
  <si>
    <t>Davante Adams</t>
  </si>
  <si>
    <t>Tyreek Hill</t>
  </si>
  <si>
    <t>Terry McLaurin</t>
  </si>
  <si>
    <t>Josh Allen</t>
  </si>
  <si>
    <t>QB</t>
  </si>
  <si>
    <t>Lamar Jackson</t>
  </si>
  <si>
    <t>Jayden Daniels</t>
  </si>
  <si>
    <t>Jalen Hurts</t>
  </si>
  <si>
    <t>Chase Brown</t>
  </si>
  <si>
    <t>Ladd McConkey</t>
  </si>
  <si>
    <t>LAC</t>
  </si>
  <si>
    <t>Jaxon Smith-Njigba</t>
  </si>
  <si>
    <t>DK Metcalf</t>
  </si>
  <si>
    <t>Omarion Hampton</t>
  </si>
  <si>
    <t>Chuba Hubbard</t>
  </si>
  <si>
    <t>Joe Burrow</t>
  </si>
  <si>
    <t>George Kittle</t>
  </si>
  <si>
    <t>James Conner</t>
  </si>
  <si>
    <t>Alvin Kamara</t>
  </si>
  <si>
    <t>NO</t>
  </si>
  <si>
    <t>TreVeyon Henderson</t>
  </si>
  <si>
    <t>NE</t>
  </si>
  <si>
    <t>Kenneth Walker III</t>
  </si>
  <si>
    <t>Breece Hall</t>
  </si>
  <si>
    <t>NYJ</t>
  </si>
  <si>
    <t>Marvin Harrison Jr.</t>
  </si>
  <si>
    <t>Xavier Worthy</t>
  </si>
  <si>
    <t>KC</t>
  </si>
  <si>
    <t>Garrett Wilson</t>
  </si>
  <si>
    <t>Zay Flowers</t>
  </si>
  <si>
    <t>Mike Evans</t>
  </si>
  <si>
    <t>CAR</t>
  </si>
  <si>
    <t>2025 Fantasy Football Statistical Companion - Last Updated 9/1/2025</t>
  </si>
  <si>
    <t>Teams</t>
  </si>
  <si>
    <t>●</t>
  </si>
  <si>
    <t>PPR</t>
  </si>
  <si>
    <t>Rushing: 0.1 PPY, 6 PPTD</t>
  </si>
  <si>
    <t>Receiving: 0.1 PPY, 6 PPTD</t>
  </si>
  <si>
    <t>RK</t>
  </si>
  <si>
    <t>PLAYER</t>
  </si>
  <si>
    <t>TM</t>
  </si>
  <si>
    <t>BYE</t>
  </si>
  <si>
    <t>FPS</t>
  </si>
  <si>
    <t>Scar.</t>
  </si>
  <si>
    <t>Contr</t>
  </si>
  <si>
    <t>VAL</t>
  </si>
  <si>
    <t>Tier</t>
  </si>
  <si>
    <t>ADP</t>
  </si>
  <si>
    <t>ECR</t>
  </si>
  <si>
    <t>Cont.</t>
  </si>
  <si>
    <t>BUF</t>
  </si>
  <si>
    <t>ATL</t>
  </si>
  <si>
    <t>CIN</t>
  </si>
  <si>
    <t>BAL</t>
  </si>
  <si>
    <t>PHI</t>
  </si>
  <si>
    <t>DAL</t>
  </si>
  <si>
    <t>DET</t>
  </si>
  <si>
    <t>MIN</t>
  </si>
  <si>
    <t>WAS</t>
  </si>
  <si>
    <t>MIA</t>
  </si>
  <si>
    <t>Patrick Mahomes II</t>
  </si>
  <si>
    <t>Baker Mayfield</t>
  </si>
  <si>
    <t>HOU</t>
  </si>
  <si>
    <t>Kyler Murray</t>
  </si>
  <si>
    <t>ARI</t>
  </si>
  <si>
    <t>JAC</t>
  </si>
  <si>
    <t>Brock Purdy</t>
  </si>
  <si>
    <t>Bo Nix</t>
  </si>
  <si>
    <t>DEN</t>
  </si>
  <si>
    <t>IND</t>
  </si>
  <si>
    <t>Justin Fields</t>
  </si>
  <si>
    <t>J.J. McCarthy</t>
  </si>
  <si>
    <t>Caleb Williams</t>
  </si>
  <si>
    <t>CHI</t>
  </si>
  <si>
    <t>Dak Prescott</t>
  </si>
  <si>
    <t>James Cook</t>
  </si>
  <si>
    <t>Justin Herbert</t>
  </si>
  <si>
    <t>Jared Goff</t>
  </si>
  <si>
    <t>SEA</t>
  </si>
  <si>
    <t>Drake Maye</t>
  </si>
  <si>
    <t>C.J. Stroud</t>
  </si>
  <si>
    <t>Trevor Lawrence</t>
  </si>
  <si>
    <t>PIT</t>
  </si>
  <si>
    <t>Jordan Love</t>
  </si>
  <si>
    <t>Tony Pollard</t>
  </si>
  <si>
    <t>TEN</t>
  </si>
  <si>
    <t>Bryce Young</t>
  </si>
  <si>
    <t>DJ Moore</t>
  </si>
  <si>
    <t>Michael Penix Jr.</t>
  </si>
  <si>
    <t>Aaron Jones Sr.</t>
  </si>
  <si>
    <t>Tua Tagovailoa</t>
  </si>
  <si>
    <t>D'Andre Swift</t>
  </si>
  <si>
    <t>Geno Smith</t>
  </si>
  <si>
    <t>David Montgomery</t>
  </si>
  <si>
    <t>Tetairoa McMillan</t>
  </si>
  <si>
    <t>Cam Ward</t>
  </si>
  <si>
    <t>RJ Harvey</t>
  </si>
  <si>
    <t>Courtland Sutton</t>
  </si>
  <si>
    <t>Matthew Stafford</t>
  </si>
  <si>
    <t>Isiah Pacheco</t>
  </si>
  <si>
    <t>DeVonta Smith</t>
  </si>
  <si>
    <t>Sam Darnold</t>
  </si>
  <si>
    <t>Tyrone Tracy Jr.</t>
  </si>
  <si>
    <t>Jerry Jeudy</t>
  </si>
  <si>
    <t>CLE</t>
  </si>
  <si>
    <t>Aaron Rodgers</t>
  </si>
  <si>
    <t>Jaylen Warren</t>
  </si>
  <si>
    <t>Calvin Ridley</t>
  </si>
  <si>
    <t>Daniel Jones</t>
  </si>
  <si>
    <t>Austin Ekeler</t>
  </si>
  <si>
    <t>Jameson Williams</t>
  </si>
  <si>
    <t>Russell Wilson</t>
  </si>
  <si>
    <t>Kaleb Johnson</t>
  </si>
  <si>
    <t>George Pickens</t>
  </si>
  <si>
    <t>Spencer Rattler</t>
  </si>
  <si>
    <t>Zach Charbonnet</t>
  </si>
  <si>
    <t>Jaylen Waddle</t>
  </si>
  <si>
    <t>Joe Flacco</t>
  </si>
  <si>
    <t>Jacory Croskey-Merritt</t>
  </si>
  <si>
    <t>Deebo Samuel Sr.</t>
  </si>
  <si>
    <t>Javonte Williams</t>
  </si>
  <si>
    <t>Travis Hunter</t>
  </si>
  <si>
    <t>Travis Etienne Jr.</t>
  </si>
  <si>
    <t>Jakobi Meyers</t>
  </si>
  <si>
    <t>J.K. Dobbins</t>
  </si>
  <si>
    <t>Stefon Diggs</t>
  </si>
  <si>
    <t>Rhamondre Stevenson</t>
  </si>
  <si>
    <t>Chris Olave</t>
  </si>
  <si>
    <t>Jerome Ford</t>
  </si>
  <si>
    <t>Rome Odunze</t>
  </si>
  <si>
    <t>Joe Mixon</t>
  </si>
  <si>
    <t>Cooper Kupp</t>
  </si>
  <si>
    <t>Travis Kelce</t>
  </si>
  <si>
    <t>Jordan Mason</t>
  </si>
  <si>
    <t>Matthew Golden</t>
  </si>
  <si>
    <t>Sam LaPorta</t>
  </si>
  <si>
    <t>Rachaad White</t>
  </si>
  <si>
    <t>Michael Pittman Jr.</t>
  </si>
  <si>
    <t>David Njoku</t>
  </si>
  <si>
    <t>Cam Skattebo</t>
  </si>
  <si>
    <t>Ricky Pearsall</t>
  </si>
  <si>
    <t>T.J. Hockenson</t>
  </si>
  <si>
    <t>Quinshon Judkins</t>
  </si>
  <si>
    <t>Emeka Egbuka</t>
  </si>
  <si>
    <t>Mark Andrews</t>
  </si>
  <si>
    <t>Dylan Sampson</t>
  </si>
  <si>
    <t>Jauan Jennings</t>
  </si>
  <si>
    <t>Tyler Warren</t>
  </si>
  <si>
    <t>Jaydon Blue</t>
  </si>
  <si>
    <t>Khalil Shakir</t>
  </si>
  <si>
    <t>Evan Engram</t>
  </si>
  <si>
    <t>Trey Benson</t>
  </si>
  <si>
    <t>Chris Godwin Jr.</t>
  </si>
  <si>
    <t>Jake Ferguson</t>
  </si>
  <si>
    <t>Nick Chubb</t>
  </si>
  <si>
    <t>Darnell Mooney</t>
  </si>
  <si>
    <t>Tucker Kraft</t>
  </si>
  <si>
    <t>Tank Bigsby</t>
  </si>
  <si>
    <t>Josh Downs</t>
  </si>
  <si>
    <t>Dallas Goedert</t>
  </si>
  <si>
    <t>Najee Harris</t>
  </si>
  <si>
    <t>Rashid Shaheed</t>
  </si>
  <si>
    <t>Zach Ertz</t>
  </si>
  <si>
    <t>Tyjae Spears</t>
  </si>
  <si>
    <t>Keon Coleman</t>
  </si>
  <si>
    <t>Kyle Pitts Sr.</t>
  </si>
  <si>
    <t>Bhayshul Tuten</t>
  </si>
  <si>
    <t>Jordan Addison</t>
  </si>
  <si>
    <t>Dalton Kincaid</t>
  </si>
  <si>
    <t>Tyler Allgeier</t>
  </si>
  <si>
    <t>Rashee Rice</t>
  </si>
  <si>
    <t>Hunter Henry</t>
  </si>
  <si>
    <t>Rico Dowdle</t>
  </si>
  <si>
    <t>Jayden Reed</t>
  </si>
  <si>
    <t>Colston Loveland</t>
  </si>
  <si>
    <t>Ray Davis</t>
  </si>
  <si>
    <t>Marvin Mims Jr.</t>
  </si>
  <si>
    <t>Chig Okonkwo</t>
  </si>
  <si>
    <t>Braelon Allen</t>
  </si>
  <si>
    <t>Xavier Legette</t>
  </si>
  <si>
    <t>Brenton Strange</t>
  </si>
  <si>
    <t>Kareem Hunt</t>
  </si>
  <si>
    <t>Cedric Tillman</t>
  </si>
  <si>
    <t>Cade Otton</t>
  </si>
  <si>
    <t>Ollie Gordon II</t>
  </si>
  <si>
    <t>Rashod Bateman</t>
  </si>
  <si>
    <t>Jonnu Smith</t>
  </si>
  <si>
    <t>Kendre Miller</t>
  </si>
  <si>
    <t>Wan'Dale Robinson</t>
  </si>
  <si>
    <t>Darren Waller</t>
  </si>
  <si>
    <t>Justice Hill</t>
  </si>
  <si>
    <t>Marquise Brown</t>
  </si>
  <si>
    <t>Mason Taylor</t>
  </si>
  <si>
    <t>Roschon Johnson</t>
  </si>
  <si>
    <t>Keenan Allen</t>
  </si>
  <si>
    <t>Mike Gesicki</t>
  </si>
  <si>
    <t>Pat Freiermuth</t>
  </si>
  <si>
    <t>Definitions and Notes</t>
  </si>
  <si>
    <t>Donations Appreciated: @JoeMYoung</t>
  </si>
  <si>
    <t>Dalton Schultz</t>
  </si>
  <si>
    <t>1) Much credit to Beersheets. It heavily influenced the creation of this sheet and I hope some day it comes back.</t>
  </si>
  <si>
    <t>Robbie Ouzts</t>
  </si>
  <si>
    <t>2) Underlying projection data is sourced from FantasyPros.com</t>
  </si>
  <si>
    <t>ECR = Expert Consensus Rankings Customized On League Settings (First # Rd, Second # Pick)</t>
  </si>
  <si>
    <t>Juwan Johnson</t>
  </si>
  <si>
    <t>FPS = Total projected fantasy points divided by 17 games</t>
  </si>
  <si>
    <t>A vs E = Comparison Between ADP and ECR. If ADP &gt; ECR, bar will be red which means player is picked too early relative to ECR.</t>
  </si>
  <si>
    <t>Theo Johnson</t>
  </si>
  <si>
    <t>Scarcity = % of positional fantasy points remaining below the players ranking</t>
  </si>
  <si>
    <t>Isaiah Likely</t>
  </si>
  <si>
    <t>Contribution = FPS / Total Positional FPS For All Players</t>
  </si>
  <si>
    <t>Tier = Based on the distribution of FPS by position using standard deviation of tiers</t>
  </si>
  <si>
    <t>Tyler Higbee</t>
  </si>
  <si>
    <t>VAL = FPS / Average FPS Across All Players in Ranking</t>
  </si>
  <si>
    <t>ADP = Average Draft Position Customized Based on League Settings (First # Rd, Second # Pick)</t>
  </si>
  <si>
    <t>Team Owner</t>
  </si>
  <si>
    <t>Number</t>
  </si>
  <si>
    <t>Team Composition</t>
  </si>
  <si>
    <t>Bench 2</t>
  </si>
  <si>
    <t>Bench 3</t>
  </si>
  <si>
    <t>Bench 4</t>
  </si>
  <si>
    <t>Bench 5</t>
  </si>
  <si>
    <t>Bench 1</t>
  </si>
  <si>
    <t>BEN</t>
  </si>
  <si>
    <t>ROBERT</t>
  </si>
  <si>
    <t>JACK</t>
  </si>
  <si>
    <t>COLBY</t>
  </si>
  <si>
    <t>DIEGO</t>
  </si>
  <si>
    <t>ERIC</t>
  </si>
  <si>
    <t>TITO</t>
  </si>
  <si>
    <t>ALBERTO</t>
  </si>
  <si>
    <t>NOAH</t>
  </si>
  <si>
    <t>NIKO</t>
  </si>
  <si>
    <t>JAMES</t>
  </si>
  <si>
    <t xml:space="preserve">WR </t>
  </si>
  <si>
    <t>DEF</t>
  </si>
  <si>
    <t>EF</t>
  </si>
  <si>
    <t>KYLE</t>
  </si>
  <si>
    <t>Defense/Special Teams</t>
  </si>
  <si>
    <t>Lamar JacksonQB - BAL</t>
  </si>
  <si>
    <t>Josh AllenQB - BUF</t>
  </si>
  <si>
    <t>Jalen HurtsQB - PHI</t>
  </si>
  <si>
    <t>Jayden DanielsQB - WASO</t>
  </si>
  <si>
    <t>Patrick MahomesQB - KCO</t>
  </si>
  <si>
    <t>Joe BurrowQB - CIN</t>
  </si>
  <si>
    <t>Baker MayfieldQB - TB</t>
  </si>
  <si>
    <t>Kyler MurrayQB - ARIIR</t>
  </si>
  <si>
    <t>Brock PurdyQB - SF</t>
  </si>
  <si>
    <t>Bo NixQB - DEN</t>
  </si>
  <si>
    <t>Drake MayeQB - NE</t>
  </si>
  <si>
    <t>J.J. McCarthyQB - MIN</t>
  </si>
  <si>
    <t>Caleb WilliamsQB - CHI</t>
  </si>
  <si>
    <t>Trevor LawrenceQB - JAX</t>
  </si>
  <si>
    <t>Justin FieldsQB - NYJQ</t>
  </si>
  <si>
    <t>Justin HerbertQB - LAC</t>
  </si>
  <si>
    <t>Dak PrescottQB - DAL</t>
  </si>
  <si>
    <t>C.J. StroudQB - HOU</t>
  </si>
  <si>
    <t>Jared GoffQB - DET</t>
  </si>
  <si>
    <t>Bryce YoungQB - CAR</t>
  </si>
  <si>
    <t>Jordan LoveQB - GB</t>
  </si>
  <si>
    <t>Cam WardQB - TEN</t>
  </si>
  <si>
    <t>Matthew StaffordQB - LAR</t>
  </si>
  <si>
    <t>Geno SmithQB - LVQ</t>
  </si>
  <si>
    <t>Int</t>
  </si>
  <si>
    <t>FumTD</t>
  </si>
  <si>
    <t>2PT</t>
  </si>
  <si>
    <t>Bijan RobinsonRB - ATL</t>
  </si>
  <si>
    <t>Jahmyr GibbsRB - DET</t>
  </si>
  <si>
    <t>Ashton JeantyRB - LV</t>
  </si>
  <si>
    <t>Christian McCaffreyRB - SF</t>
  </si>
  <si>
    <t>De'Von AchaneRB - MIA</t>
  </si>
  <si>
    <t>Derrick HenryRB - BAL</t>
  </si>
  <si>
    <t>Jonathan TaylorRB - IND</t>
  </si>
  <si>
    <t>Chase BrownRB - CIN</t>
  </si>
  <si>
    <t>Bucky IrvingRB - TB</t>
  </si>
  <si>
    <t>Kyren WilliamsRB - LAR</t>
  </si>
  <si>
    <t>Omarion HamptonRB - LAC</t>
  </si>
  <si>
    <t>Alvin KamaraRB - NOQ</t>
  </si>
  <si>
    <t>James ConnerRB - ARIIR</t>
  </si>
  <si>
    <t>James CookRB - BUF</t>
  </si>
  <si>
    <t>Breece HallRB - NYJ</t>
  </si>
  <si>
    <t>Chuba HubbardRB - CAR</t>
  </si>
  <si>
    <t>Tony PollardRB - TEN</t>
  </si>
  <si>
    <t>TreVeyon HendersonRB - NE</t>
  </si>
  <si>
    <t>Isiah PachecoRB - KC</t>
  </si>
  <si>
    <t>David MontgomeryRB - DET</t>
  </si>
  <si>
    <t>Kenneth Walker IIIRB - SEA</t>
  </si>
  <si>
    <t>D'Andre SwiftRB - CHI</t>
  </si>
  <si>
    <t>Tyrone Tracy Jr.RB - NYG</t>
  </si>
  <si>
    <t>Jaylen WarrenRB - PIT</t>
  </si>
  <si>
    <t>Aaron JonesRB - MIN</t>
  </si>
  <si>
    <t>Kaleb JohnsonRB - PIT</t>
  </si>
  <si>
    <t>J.K. DobbinsRB - DENIR</t>
  </si>
  <si>
    <t>Austin EkelerRB - WASIR</t>
  </si>
  <si>
    <t>Zach CharbonnetRB - SEA</t>
  </si>
  <si>
    <t>Travis EtienneRB - JAX</t>
  </si>
  <si>
    <t>Jordan MasonRB - MIN</t>
  </si>
  <si>
    <t>Javonte WilliamsRB - DAL</t>
  </si>
  <si>
    <t>Jaydon BlueRB - DAL</t>
  </si>
  <si>
    <t>Trey BensonRB - ARIIR</t>
  </si>
  <si>
    <t>Joe MixonRB - HOUNFI-R</t>
  </si>
  <si>
    <t>Rhamondre StevensonRB - NE</t>
  </si>
  <si>
    <t>Jacory Croskey-MerrittRB - WAS</t>
  </si>
  <si>
    <t>Ray DavisRB - BUF</t>
  </si>
  <si>
    <t>Nick ChubbRB - HOUQ</t>
  </si>
  <si>
    <t>Jerome FordRB - CLEIR</t>
  </si>
  <si>
    <t>Tyler AllgeierRB - ATL</t>
  </si>
  <si>
    <t>Cam SkatteboRB - NYGIR</t>
  </si>
  <si>
    <t>Quinshon JudkinsRB - CLE</t>
  </si>
  <si>
    <t>Rico DowdleRB - CAR</t>
  </si>
  <si>
    <t>Rachaad WhiteRB - TB</t>
  </si>
  <si>
    <t>Bhayshul TutenRB - JAXD</t>
  </si>
  <si>
    <t>Ja'Marr ChaseWR - CIN</t>
  </si>
  <si>
    <t>CeeDee LambWR - DAL</t>
  </si>
  <si>
    <t>Justin JeffersonWR - MIN</t>
  </si>
  <si>
    <t>Malik NabersWR - NYGIR</t>
  </si>
  <si>
    <t>Brian Thomas Jr.WR - JAX</t>
  </si>
  <si>
    <t>Puka NacuaWR - LAR</t>
  </si>
  <si>
    <t>Nico CollinsWR - HOU</t>
  </si>
  <si>
    <t>Amon-Ra St. BrownWR - DET</t>
  </si>
  <si>
    <t>Tyreek HillWR - MIAIR</t>
  </si>
  <si>
    <t>A.J. BrownWR - PHI</t>
  </si>
  <si>
    <t>Ladd McConkeyWR - LAC</t>
  </si>
  <si>
    <t>Garrett WilsonWR - NYJIR</t>
  </si>
  <si>
    <t>DK MetcalfWR - PIT</t>
  </si>
  <si>
    <t>Tee HigginsWR - CINQ</t>
  </si>
  <si>
    <t>Davante AdamsWR - LARQ</t>
  </si>
  <si>
    <t>Terry McLaurinWR - WAS</t>
  </si>
  <si>
    <t>Mike EvansWR - TB</t>
  </si>
  <si>
    <t>Tetairoa McMillanWR - CAR</t>
  </si>
  <si>
    <t>Jaxon Smith-NjigbaWR - SEA</t>
  </si>
  <si>
    <t>Jameson WilliamsWR - DET</t>
  </si>
  <si>
    <t>DJ MooreWR - CHI</t>
  </si>
  <si>
    <t>Courtland SuttonWR - DEN</t>
  </si>
  <si>
    <t>George PickensWR - DAL</t>
  </si>
  <si>
    <t>Jerry JeudyWR - CLE</t>
  </si>
  <si>
    <t>Calvin RidleyWR - TENIR</t>
  </si>
  <si>
    <t>DeVonta SmithWR - PHI</t>
  </si>
  <si>
    <t>Jaylen WaddleWR - MIA</t>
  </si>
  <si>
    <t>Xavier WorthyWR - KC</t>
  </si>
  <si>
    <t>Chris OlaveWR - NO</t>
  </si>
  <si>
    <t>Deebo Samuel Sr.WR - WAS</t>
  </si>
  <si>
    <t>Matthew GoldenWR - GB</t>
  </si>
  <si>
    <t>Rashee RiceWR - KC</t>
  </si>
  <si>
    <t>Travis HunterWR - JAXIR</t>
  </si>
  <si>
    <t>Zay FlowersWR - BAL</t>
  </si>
  <si>
    <t>Emeka EgbukaWR - TB</t>
  </si>
  <si>
    <t>Ricky PearsallWR - SFQ</t>
  </si>
  <si>
    <t>Stefon DiggsWR - NE</t>
  </si>
  <si>
    <t>Jakobi MeyersWR - JAX</t>
  </si>
  <si>
    <t>Jordan AddisonWR - MIN</t>
  </si>
  <si>
    <t>Rashid ShaheedWR - SEA</t>
  </si>
  <si>
    <t>Khalil ShakirWR - BUF</t>
  </si>
  <si>
    <t>Michael PittmanWR - IND</t>
  </si>
  <si>
    <t>Cooper KuppWR - SEA</t>
  </si>
  <si>
    <t>Chris Godwin Jr.WR - TB</t>
  </si>
  <si>
    <t>Josh DownsWR - IND</t>
  </si>
  <si>
    <t>Marvin Mims Jr.WR - DEN</t>
  </si>
  <si>
    <t>Jauan JenningsWR - SF</t>
  </si>
  <si>
    <t>Brock BowersTE - LV</t>
  </si>
  <si>
    <t>Trey McBrideTE - ARI</t>
  </si>
  <si>
    <t>George KittleTE - SF</t>
  </si>
  <si>
    <t>Sam LaPortaTE - DETIR</t>
  </si>
  <si>
    <t>T.J. HockensonTE - MIN</t>
  </si>
  <si>
    <t>Travis KelceTE - KC</t>
  </si>
  <si>
    <t>Evan EngramTE - DEN</t>
  </si>
  <si>
    <t>Mark AndrewsTE - BAL</t>
  </si>
  <si>
    <t>Tucker KraftTE - GBIR</t>
  </si>
  <si>
    <t>Tyler WarrenTE - IND</t>
  </si>
  <si>
    <t>Dallas GoedertTE - PHI</t>
  </si>
  <si>
    <t>Colston LovelandTE - CHI</t>
  </si>
  <si>
    <t>Jake FergusonTE - DAL</t>
  </si>
  <si>
    <t>Dalton KincaidTE - BUF</t>
  </si>
  <si>
    <t>Chig OkonkwoTE - TEN</t>
  </si>
  <si>
    <t>Kyle PittsTE - ATL</t>
  </si>
  <si>
    <t>Hunter HenryTE - NE</t>
  </si>
  <si>
    <t>Jonnu SmithTE - PIT</t>
  </si>
  <si>
    <t>Mike GesickiTE - CIN</t>
  </si>
  <si>
    <t>Mason TaylorTE - NYJQ</t>
  </si>
  <si>
    <t>Zach ErtzTE - WASIR</t>
  </si>
  <si>
    <t>Brenton StrangeTE - JAX</t>
  </si>
  <si>
    <t>Ja'Tavion SandersTE - CAR</t>
  </si>
  <si>
    <t>Juwan JohnsonTE - NO</t>
  </si>
  <si>
    <t>Brandon AubreyK - DAL</t>
  </si>
  <si>
    <t>Cameron DickerK - LAC</t>
  </si>
  <si>
    <t>Jake BatesK - DET</t>
  </si>
  <si>
    <t>Harrison ButkerK - KC</t>
  </si>
  <si>
    <t>Ka'imi FairbairnK - HOU</t>
  </si>
  <si>
    <t>Chase McLaughlinK - TB</t>
  </si>
  <si>
    <t>Chris BoswellK - PIT</t>
  </si>
  <si>
    <t>Daniel CarlsonK - LV</t>
  </si>
  <si>
    <t>Matt GayK</t>
  </si>
  <si>
    <t>Tyler BassK - BUFIR</t>
  </si>
  <si>
    <t>Evan McPhersonK - CIN</t>
  </si>
  <si>
    <t>Will ReichardK - MIN</t>
  </si>
  <si>
    <t>Wil LutzK - DEN</t>
  </si>
  <si>
    <t>Jake ElliottK - PHI</t>
  </si>
  <si>
    <t>Tyler LoopK - BAL</t>
  </si>
  <si>
    <t>Brandon McManusK - GB</t>
  </si>
  <si>
    <t>Jake MoodyK - WAS</t>
  </si>
  <si>
    <t>Joshua KartyK - LAR</t>
  </si>
  <si>
    <t>Cam LittleK - JAX</t>
  </si>
  <si>
    <t>Chad RylandK - ARI</t>
  </si>
  <si>
    <t>Cairo SantosK - CHI</t>
  </si>
  <si>
    <t>Jason MyersK - SEA</t>
  </si>
  <si>
    <t>Blake GrupeK - IND</t>
  </si>
  <si>
    <t>Nick FolkK - NYJ</t>
  </si>
  <si>
    <t>Team</t>
  </si>
  <si>
    <t>Fum Rec</t>
  </si>
  <si>
    <t>Def 2pt Ret</t>
  </si>
  <si>
    <t>Pts Allow</t>
  </si>
  <si>
    <t>Denver BroncosDEF</t>
  </si>
  <si>
    <t>Houston TexansDEF</t>
  </si>
  <si>
    <t>Baltimore RavensDEF</t>
  </si>
  <si>
    <t>Minnesota VikingsDEF</t>
  </si>
  <si>
    <t>Pittsburgh SteelersDEF</t>
  </si>
  <si>
    <t>Kansas City ChiefsDEF</t>
  </si>
  <si>
    <t>Detroit LionsDEF</t>
  </si>
  <si>
    <t>Miami DolphinsDEF</t>
  </si>
  <si>
    <t>San Francisco 49ersDEF</t>
  </si>
  <si>
    <t>Tampa Bay BuccaneersDEF</t>
  </si>
  <si>
    <t>Arizona CardinalsDEF</t>
  </si>
  <si>
    <t>Cincinnati BengalsDEF</t>
  </si>
  <si>
    <t>New York GiantsDEF</t>
  </si>
  <si>
    <t>New York JetsDEF</t>
  </si>
  <si>
    <t>Indianapolis ColtsDEF</t>
  </si>
  <si>
    <t>Fantasy Points</t>
  </si>
  <si>
    <t>Passing Yds</t>
  </si>
  <si>
    <t>Passing TD</t>
  </si>
  <si>
    <t>Passing Int</t>
  </si>
  <si>
    <t>Rushing TD</t>
  </si>
  <si>
    <t>Receiving Yds</t>
  </si>
  <si>
    <t>Receiving TD</t>
  </si>
  <si>
    <t>Tua TagovailoaQB - MIAView News</t>
  </si>
  <si>
    <t>Saquon BarkleyRB - PHIQView News</t>
  </si>
  <si>
    <t>Josh JacobsRB - GBQView News</t>
  </si>
  <si>
    <t>RJ HarveyRB - DENQView News</t>
  </si>
  <si>
    <t>Dylan SampsonRB - CLEQView News</t>
  </si>
  <si>
    <t>Drake LondonWR - ATLQView News</t>
  </si>
  <si>
    <t>Marvin Harrison Jr.WR - ARIQView News</t>
  </si>
  <si>
    <t>Rome OdunzeWR - CHIQView News</t>
  </si>
  <si>
    <t>David NjokuTE - CLEQView News</t>
  </si>
  <si>
    <t>Younghoe KooKView News</t>
  </si>
  <si>
    <t>Philadelphia EaglesDEFView News</t>
  </si>
  <si>
    <t>Buffalo BillsDEFView News</t>
  </si>
  <si>
    <t>Green Bay PackersDEFView News</t>
  </si>
  <si>
    <t>Los Angeles RamsDEFView News</t>
  </si>
  <si>
    <t>Dallas CowboysDEFView News</t>
  </si>
  <si>
    <t>Washington CommandersDEFView News</t>
  </si>
  <si>
    <t>Seattle SeahawksDEFView News</t>
  </si>
  <si>
    <t>Chicago BearsDEFView News</t>
  </si>
  <si>
    <t>Los Angeles ChargersDEFView News</t>
  </si>
  <si>
    <t>Cleveland BrownsDEFView News</t>
  </si>
  <si>
    <t>Rushing Yds</t>
  </si>
  <si>
    <t>Fum lost</t>
  </si>
  <si>
    <t>PAT Made</t>
  </si>
  <si>
    <t>Safety</t>
  </si>
  <si>
    <t>Def TD</t>
  </si>
  <si>
    <t>Category</t>
  </si>
  <si>
    <t>Rule</t>
  </si>
  <si>
    <t>Point Value</t>
  </si>
  <si>
    <t>Pts Allow 0</t>
  </si>
  <si>
    <t>Pts Allow 1-6</t>
  </si>
  <si>
    <t>Pts Allow 7-13</t>
  </si>
  <si>
    <t>Pts Allow 14-20</t>
  </si>
  <si>
    <t>Pts Allow 21-27</t>
  </si>
  <si>
    <t>Pts Allow 28-24</t>
  </si>
  <si>
    <t>Pts Allow 35+</t>
  </si>
  <si>
    <t>Block Kick</t>
  </si>
  <si>
    <t>XP Return</t>
  </si>
  <si>
    <t>Copied Fantasy Points</t>
  </si>
  <si>
    <t>19</t>
  </si>
  <si>
    <t>20029</t>
  </si>
  <si>
    <t>30039</t>
  </si>
  <si>
    <t>40049</t>
  </si>
  <si>
    <t>Reception</t>
  </si>
  <si>
    <t>Receptions</t>
  </si>
  <si>
    <t>Defensive 2Pt Conversion</t>
  </si>
  <si>
    <t>Detroit</t>
  </si>
  <si>
    <t>LA Rams</t>
  </si>
  <si>
    <t>Buffalo</t>
  </si>
  <si>
    <t>Dallas</t>
  </si>
  <si>
    <t>Seattle</t>
  </si>
  <si>
    <t>Indianapolis</t>
  </si>
  <si>
    <t>New England</t>
  </si>
  <si>
    <t>Jacksonville</t>
  </si>
  <si>
    <t>Chicago</t>
  </si>
  <si>
    <t>Green Bay</t>
  </si>
  <si>
    <t>San Francisco</t>
  </si>
  <si>
    <t>Denver</t>
  </si>
  <si>
    <t>Pittsburgh</t>
  </si>
  <si>
    <t>Baltimore</t>
  </si>
  <si>
    <t>Kansas City</t>
  </si>
  <si>
    <t>Tampa Bay</t>
  </si>
  <si>
    <t>Houston</t>
  </si>
  <si>
    <t>Philadelphia</t>
  </si>
  <si>
    <t>LA Chargers</t>
  </si>
  <si>
    <t>Cincinnati</t>
  </si>
  <si>
    <t>Arizona</t>
  </si>
  <si>
    <t>NY Giants</t>
  </si>
  <si>
    <t>Miami</t>
  </si>
  <si>
    <t>Washington</t>
  </si>
  <si>
    <t>Minnesota</t>
  </si>
  <si>
    <t>Atlanta</t>
  </si>
  <si>
    <t>NY Jets</t>
  </si>
  <si>
    <t>Carolina</t>
  </si>
  <si>
    <t>New Orleans</t>
  </si>
  <si>
    <t>Cleveland</t>
  </si>
  <si>
    <t>Tennessee</t>
  </si>
  <si>
    <t>Las Vegas</t>
  </si>
  <si>
    <t>FROM</t>
  </si>
  <si>
    <t>https://www.teamrankings.com/nfl/stat/opponent-points-per-game</t>
  </si>
  <si>
    <t>Rank</t>
  </si>
  <si>
    <t>Points Allowed/Game</t>
  </si>
  <si>
    <t>Range</t>
  </si>
  <si>
    <t>Likelihood</t>
  </si>
  <si>
    <t>Pts Allow 28-34</t>
  </si>
  <si>
    <t>Value</t>
  </si>
  <si>
    <t>Sigma</t>
  </si>
  <si>
    <t>Return Touchdown</t>
  </si>
  <si>
    <t>2016</t>
  </si>
  <si>
    <t>2017</t>
  </si>
  <si>
    <t>2018</t>
  </si>
  <si>
    <t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</si>
</sst>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17ED8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9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5" fillId="0" borderId="0" xfId="0" applyFont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3" fillId="0" borderId="0" xfId="0" applyFont="1"/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10" xfId="0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3" fillId="3" borderId="7" xfId="0" applyFont="1" applyFill="1" applyBorder="1"/>
    <xf numFmtId="0" fontId="3" fillId="3" borderId="6" xfId="0" applyFont="1" applyFill="1" applyBorder="1"/>
    <xf numFmtId="0" fontId="0" fillId="4" borderId="7" xfId="0" applyFill="1" applyBorder="1"/>
    <xf numFmtId="0" fontId="0" fillId="4" borderId="6" xfId="0" applyFill="1" applyBorder="1"/>
    <xf numFmtId="0" fontId="0" fillId="0" borderId="7" xfId="0" applyBorder="1"/>
    <xf numFmtId="0" fontId="0" fillId="0" borderId="6" xfId="0" applyBorder="1"/>
    <xf numFmtId="0" fontId="0" fillId="0" borderId="5" xfId="0" applyBorder="1"/>
    <xf numFmtId="0" fontId="0" fillId="0" borderId="1" xfId="0" applyBorder="1"/>
    <xf numFmtId="164" fontId="1" fillId="10" borderId="0" xfId="0" applyNumberFormat="1" applyFont="1" applyFill="1"/>
    <xf numFmtId="0" fontId="0" fillId="4" borderId="0" xfId="0" applyFill="1"/>
    <xf numFmtId="0" fontId="0" fillId="4" borderId="11" xfId="0" applyFill="1" applyBorder="1"/>
    <xf numFmtId="0" fontId="2" fillId="0" borderId="0" xfId="1"/>
    <xf numFmtId="0" fontId="3" fillId="3" borderId="0" xfId="0" applyFont="1" applyFill="1"/>
    <xf numFmtId="0" fontId="4" fillId="11" borderId="0" xfId="0" applyFont="1" applyFill="1"/>
  </cellXfs>
  <cellStyles count="2">
    <cellStyle name="Hyperlink" xfId="1" builtinId="8"/>
    <cellStyle name="Normal" xfId="0" builtinId="0"/>
  </cellStyles>
  <dxfs count="12">
    <dxf>
      <font>
        <b/>
      </font>
      <numFmt numFmtId="164" formatCode="0.0"/>
      <fill>
        <patternFill patternType="solid">
          <fgColor indexed="64"/>
          <bgColor rgb="FFB17ED8"/>
        </patternFill>
      </fill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/>
      </font>
      <numFmt numFmtId="0" formatCode="General"/>
      <fill>
        <patternFill patternType="solid">
          <fgColor indexed="64"/>
          <bgColor theme="9" tint="0.59999389629810485"/>
        </patternFill>
      </fill>
    </dxf>
    <dxf>
      <font>
        <b/>
      </font>
      <numFmt numFmtId="0" formatCode="General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  <numFmt numFmtId="0" formatCode="General"/>
      <fill>
        <patternFill patternType="solid">
          <fgColor indexed="64"/>
          <bgColor theme="7" tint="0.5999938962981048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  <numFmt numFmtId="0" formatCode="General"/>
      <fill>
        <patternFill patternType="solid">
          <fgColor indexed="64"/>
          <bgColor theme="5" tint="0.59999389629810485"/>
        </patternFill>
      </fill>
    </dxf>
    <dxf>
      <font>
        <b/>
      </font>
      <numFmt numFmtId="0" formatCode="General"/>
      <fill>
        <patternFill patternType="solid">
          <fgColor indexed="64"/>
          <bgColor theme="8" tint="0.39997558519241921"/>
        </patternFill>
      </fill>
    </dxf>
    <dxf>
      <fill>
        <patternFill>
          <bgColor rgb="FFE4D2F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</dxfs>
  <tableStyles count="2" defaultTableStyle="TableStyleMedium2" defaultPivotStyle="PivotStyleLight16">
    <tableStyle name="Table Style 1" pivot="0" count="1" xr9:uid="{E1D355E9-03BA-42D6-9F2D-A96EB1ACDA4E}">
      <tableStyleElement type="wholeTable" dxfId="11"/>
    </tableStyle>
    <tableStyle name="Table Style 2" pivot="0" count="2" xr9:uid="{D2BD7125-EB3B-4E92-B202-675E5DD9BB5A}">
      <tableStyleElement type="headerRow" dxfId="10"/>
      <tableStyleElement type="firstRowStripe" dxfId="9"/>
    </tableStyle>
  </tableStyles>
  <colors>
    <mruColors>
      <color rgb="FFB17ED8"/>
      <color rgb="FF9C5BCD"/>
      <color rgb="FFE4D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2E66E9-706A-4655-8DD9-2417139715A1}" name="Table2" displayName="Table2" ref="A1:N26" totalsRowShown="0">
  <autoFilter ref="A1:N26" xr:uid="{362E66E9-706A-4655-8DD9-2417139715A1}"/>
  <tableColumns count="14">
    <tableColumn id="1" xr3:uid="{BD87D52B-152D-4F55-81CD-E4EABCDD47A1}" name="QB"/>
    <tableColumn id="2" xr3:uid="{660D5C0D-526F-4E92-A3AC-8CA60D9A7326}" name="Passing Yds"/>
    <tableColumn id="3" xr3:uid="{7F29481C-C845-42CE-8888-C8C6DBBD9B67}" name="Passing TD"/>
    <tableColumn id="4" xr3:uid="{E8816235-85A5-43DC-BBD6-39204985A8D1}" name="Passing Int"/>
    <tableColumn id="5" xr3:uid="{2DBD47EA-B137-4D1E-A09D-50D832081D97}" name="Rushing Yds"/>
    <tableColumn id="6" xr3:uid="{E0AE070C-D912-4DF1-B498-A4A03EF8E9C9}" name="Rushing TD"/>
    <tableColumn id="7" xr3:uid="{E9A2BCD0-CF8E-4EE7-AC95-A7FBD44EE31D}" name="Receptions"/>
    <tableColumn id="8" xr3:uid="{D378A71F-6407-4A92-846D-71793D4ECE3C}" name="Receiving Yds"/>
    <tableColumn id="9" xr3:uid="{FC6F4C78-9619-4E40-AD71-E4423398BDE1}" name="Receiving TD"/>
    <tableColumn id="11" xr3:uid="{94CDABEB-A84A-4491-8B52-1C8752B7BCE3}" name="FumTD"/>
    <tableColumn id="12" xr3:uid="{2ACE35B0-1F0C-4113-8C3C-4D0F3F0C974B}" name="2PT"/>
    <tableColumn id="13" xr3:uid="{F2F47B73-AAEC-49A5-BF0B-737DC164FE7B}" name="Fum lost"/>
    <tableColumn id="15" xr3:uid="{2F6592D5-7D35-4E0A-B2ED-539CA8C08BE8}" name="Copied Fantasy Points"/>
    <tableColumn id="14" xr3:uid="{EFA097FD-D8AF-4A53-8C71-D32BA3D29256}" name="Fantasy Points" dataDxfId="8">
      <calculatedColumnFormula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DC53BD-4A63-43B0-B67E-29C15D6D60F0}" name="Table3" displayName="Table3" ref="A28:N78" totalsRowShown="0">
  <autoFilter ref="A28:N78" xr:uid="{81DC53BD-4A63-43B0-B67E-29C15D6D60F0}"/>
  <tableColumns count="14">
    <tableColumn id="1" xr3:uid="{2AFE4A04-8EB3-42CB-8569-0AE96C1E0497}" name="RB"/>
    <tableColumn id="2" xr3:uid="{8187644F-1BF9-4D82-8E50-5AF4406F2A95}" name="Passing Yds"/>
    <tableColumn id="3" xr3:uid="{91D1A69B-B025-458E-921F-1DB6127F19E2}" name="Passing TD"/>
    <tableColumn id="4" xr3:uid="{8CBF9C7B-1DA0-4700-9295-D906504FFF96}" name="Passing Int"/>
    <tableColumn id="5" xr3:uid="{4F6277B4-6BD7-4795-9B95-D8252C327725}" name="Rushing Yds"/>
    <tableColumn id="6" xr3:uid="{DA34E25B-F029-4B31-9075-43946AEDF636}" name="Rushing TD"/>
    <tableColumn id="7" xr3:uid="{86372957-6C7B-4BBE-AB51-F0C241D219D2}" name="Receptions"/>
    <tableColumn id="8" xr3:uid="{67D82EA3-1B24-4752-8D7A-151C458C5E72}" name="Receiving Yds"/>
    <tableColumn id="9" xr3:uid="{D2192E1F-394B-4184-A24E-7BEAF785C246}" name="Receiving TD"/>
    <tableColumn id="11" xr3:uid="{4610DFEC-0DEF-4475-8199-F8C341D606B8}" name="FumTD"/>
    <tableColumn id="12" xr3:uid="{8B4F8C8E-A700-4B7A-8412-E217A12C7366}" name="2PT"/>
    <tableColumn id="13" xr3:uid="{4840A764-001B-4752-9755-B1B25587EA1B}" name="Fum lost"/>
    <tableColumn id="15" xr3:uid="{B53FA34F-3E02-4142-9032-391E8AA6F205}" name="Copied Fantasy Points"/>
    <tableColumn id="14" xr3:uid="{188F8096-9EFA-4282-8287-ADDE8610991B}" name="Fantasy Points" dataDxfId="7">
      <calculatedColumnFormula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372984F-DF93-4EF0-8F14-40F0535B4FB2}" name="Table4" displayName="Table4" ref="A80:N130" totalsRowShown="0" headerRowDxfId="6">
  <autoFilter ref="A80:N130" xr:uid="{9372984F-DF93-4EF0-8F14-40F0535B4FB2}"/>
  <tableColumns count="14">
    <tableColumn id="1" xr3:uid="{1A4A9EA4-0B5A-4068-8EAF-E672E6CD2EED}" name="WR"/>
    <tableColumn id="2" xr3:uid="{E0F5EE89-C959-4401-ACDB-53C930F4F410}" name="Passing Yds"/>
    <tableColumn id="3" xr3:uid="{42592486-DEAB-4F0F-A207-E1C3F95D7E5D}" name="Passing TD"/>
    <tableColumn id="4" xr3:uid="{8DACB136-BA8F-4E02-B3E3-9A5ACEFE715F}" name="Passing Int"/>
    <tableColumn id="5" xr3:uid="{54960E32-9DBB-48C7-84E7-EDCBADA1E995}" name="Rushing Yds"/>
    <tableColumn id="6" xr3:uid="{B71FE23F-3CF8-4B4B-A774-2AE5982ED34B}" name="Rushing TD"/>
    <tableColumn id="7" xr3:uid="{06815B18-E906-4894-92BD-BA9BA3D5E6F4}" name="Receptions"/>
    <tableColumn id="8" xr3:uid="{5EA2027E-D2A4-44BF-A3AC-DDD0115C1135}" name="Receiving Yds"/>
    <tableColumn id="9" xr3:uid="{58947B8C-A1B8-4942-BD2A-09E9F0710296}" name="Receiving TD"/>
    <tableColumn id="11" xr3:uid="{276831B9-0B9C-4D0C-9279-D3BCE29B88E1}" name="FumTD"/>
    <tableColumn id="12" xr3:uid="{C0071CF6-0EE4-4544-8D2B-C9AFAF506DD2}" name="2PT"/>
    <tableColumn id="13" xr3:uid="{7D5CC1D0-27C0-42AD-9673-D0AD4D4CF79A}" name="Fum lost"/>
    <tableColumn id="15" xr3:uid="{B5A09622-9161-432A-A811-3F419CD59A59}" name="Copied Fantasy Points"/>
    <tableColumn id="14" xr3:uid="{01E33304-292F-43D3-9DEA-08AD0FD728C2}" name="Fantasy Points" dataDxfId="5">
      <calculatedColumnFormula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calculatedColumnFormula>
    </tableColumn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5A43CF-6B1A-4278-A1B6-00E5A6558BE7}" name="Table5" displayName="Table5" ref="A132:N157" totalsRowShown="0" headerRowDxfId="4">
  <autoFilter ref="A132:N157" xr:uid="{BE5A43CF-6B1A-4278-A1B6-00E5A6558BE7}"/>
  <tableColumns count="14">
    <tableColumn id="1" xr3:uid="{D80263A1-68EA-4171-B8B1-5299DEF11BA2}" name="TE"/>
    <tableColumn id="2" xr3:uid="{14318746-9C51-4794-9DE8-BB72D966F67A}" name="Passing Yds"/>
    <tableColumn id="3" xr3:uid="{3CF8D9FA-66B4-4B0D-9B75-7842FA9F3B54}" name="Passing TD"/>
    <tableColumn id="4" xr3:uid="{4E290581-84DC-486D-8218-08B02194F0C5}" name="Passing Int"/>
    <tableColumn id="5" xr3:uid="{409AF3E9-381A-4036-95D1-2407ED31F184}" name="Rushing Yds"/>
    <tableColumn id="6" xr3:uid="{00C0D16B-28E6-4EC2-B253-4A6A1E508628}" name="Rushing TD"/>
    <tableColumn id="7" xr3:uid="{723203B8-A2CC-4DFD-B156-AB2141913FB0}" name="Receptions"/>
    <tableColumn id="8" xr3:uid="{7B339CE7-A89C-434C-901A-6203DAD1FCA1}" name="Receiving Yds"/>
    <tableColumn id="9" xr3:uid="{71676870-26DC-436C-A327-477F9F708225}" name="Receiving TD"/>
    <tableColumn id="11" xr3:uid="{ED3E60D5-6169-4204-B501-DDD92E8341C0}" name="FumTD"/>
    <tableColumn id="12" xr3:uid="{92D6A606-7032-4BD2-9B8D-57CC08CFD50D}" name="2PT"/>
    <tableColumn id="13" xr3:uid="{F46C5577-17AB-4F57-B212-7A80D139268C}" name="Fum lost"/>
    <tableColumn id="15" xr3:uid="{2443BF08-B3D0-415E-B357-B4762EFE6263}" name="Copied Fantasy Points"/>
    <tableColumn id="14" xr3:uid="{2173EA39-A895-4655-8C2B-759430E28C2A}" name="Fantasy Points" dataDxfId="3">
      <calculatedColumnFormula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FCFA57D-41EB-46DD-AF54-C4FBF2E80040}" name="Table6" displayName="Table6" ref="A159:I184" totalsRowShown="0">
  <autoFilter ref="A159:I184" xr:uid="{0FCFA57D-41EB-46DD-AF54-C4FBF2E80040}"/>
  <tableColumns count="9">
    <tableColumn id="1" xr3:uid="{42851A6C-BB06-4908-9B23-36F7CC03A6FB}" name="K"/>
    <tableColumn id="2" xr3:uid="{FDD72E2C-5F4F-4FB8-B67B-F8C444492C16}" name="PAT Made"/>
    <tableColumn id="3" xr3:uid="{8B4A2394-168F-4E83-998C-30BEF725E33C}" name="19"/>
    <tableColumn id="4" xr3:uid="{BEF2093F-022F-40EE-9ABE-E9E51795CAC7}" name="20029"/>
    <tableColumn id="5" xr3:uid="{7B930C67-2716-41B5-9A2D-E062428FCA0A}" name="30039"/>
    <tableColumn id="6" xr3:uid="{5BAF4947-C739-47BE-9932-BC8DFA54FD93}" name="40049"/>
    <tableColumn id="7" xr3:uid="{25A17FD2-9190-47EF-AFEF-E7B82F4A8340}" name="50+"/>
    <tableColumn id="9" xr3:uid="{4A2F87BC-BAE6-47D8-A867-82972603C496}" name="Copied Fantasy Points"/>
    <tableColumn id="8" xr3:uid="{230907E7-EB14-4BFF-960E-6622E5B2B9C3}" name="Fantasy Points" dataDxfId="2">
      <calculatedColumnFormula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6C88916-1194-4A09-837E-30708ED85CB3}" name="Table7" displayName="Table7" ref="A186:M211" totalsRowShown="0" headerRowDxfId="1">
  <autoFilter ref="A186:M211" xr:uid="{F6C88916-1194-4A09-837E-30708ED85CB3}"/>
  <tableColumns count="13">
    <tableColumn id="1" xr3:uid="{59C531C7-603A-44E9-B909-8913C838DA7A}" name="DEF"/>
    <tableColumn id="2" xr3:uid="{D4A58852-8F62-4CF1-AFAC-759EA4C0B705}" name="Sack"/>
    <tableColumn id="3" xr3:uid="{F5936125-6B15-43AA-A8AF-5CEFBAEDA5FE}" name="Int"/>
    <tableColumn id="4" xr3:uid="{BDD800B5-1B72-40A3-B784-C7D08D2EA472}" name="Fum Rec"/>
    <tableColumn id="5" xr3:uid="{5DA23AF3-247A-4C55-850A-558F09CDDE75}" name="Safety"/>
    <tableColumn id="6" xr3:uid="{0C404CF8-0843-42C6-B38A-EEAE8EF50984}" name="Def TD"/>
    <tableColumn id="7" xr3:uid="{FD5358DC-BF2C-4C38-B8E1-A3E81D66C96E}" name="Def 2pt Ret"/>
    <tableColumn id="11" xr3:uid="{068FA2B6-D189-430B-9450-DC712E6999F5}" name="Block Kick"/>
    <tableColumn id="12" xr3:uid="{DE6B42D0-E020-4B0D-8083-5AFFC0FD447C}" name="XP Return"/>
    <tableColumn id="8" xr3:uid="{98F19C9C-13E4-4EB5-9F5C-75A6D6CD177D}" name="Return TD"/>
    <tableColumn id="9" xr3:uid="{2A10F227-783E-4436-90EB-5D75D57B327C}" name="Pts Allow"/>
    <tableColumn id="13" xr3:uid="{02C3EDD1-C991-426A-9F87-429BEA262110}" name="Copied Fantasy Points"/>
    <tableColumn id="10" xr3:uid="{3196F7A0-0C51-4A96-A513-7C7C84D0D603}" name="Fantasy Points" dataDxfId="0">
      <calculatedColumnFormula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calculatedColumnFormula>
    </tableColumn>
  </tableColumns>
  <tableStyleInfo name="Table Style 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eamrankings.com/nfl/stat/opponent-points-per-gam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BE8B5-0A39-44A0-809C-ADB168B3E712}">
  <dimension ref="A1:P34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10.1640625" bestFit="1" customWidth="1"/>
    <col min="2" max="2" width="14" bestFit="1" customWidth="1"/>
    <col min="4" max="4" width="19.33203125" bestFit="1" customWidth="1"/>
    <col min="6" max="6" width="21.1640625" bestFit="1" customWidth="1"/>
    <col min="7" max="7" width="22.83203125" bestFit="1" customWidth="1"/>
    <col min="8" max="9" width="13.1640625" bestFit="1" customWidth="1"/>
    <col min="10" max="11" width="13.1640625" customWidth="1"/>
    <col min="12" max="12" width="21.5" customWidth="1"/>
    <col min="13" max="13" width="13.1640625" customWidth="1"/>
    <col min="14" max="16" width="19.6640625" customWidth="1"/>
    <col min="17" max="17" width="13.1640625" customWidth="1"/>
  </cols>
  <sheetData>
    <row r="1" spans="1:16" x14ac:dyDescent="0.2">
      <c r="A1" s="23" t="s">
        <v>265</v>
      </c>
      <c r="B1" s="24" t="s">
        <v>264</v>
      </c>
      <c r="D1" s="24" t="s">
        <v>266</v>
      </c>
      <c r="F1" s="14" t="s">
        <v>507</v>
      </c>
      <c r="G1" s="15" t="s">
        <v>508</v>
      </c>
      <c r="H1" s="16" t="s">
        <v>509</v>
      </c>
      <c r="J1" s="14" t="s">
        <v>561</v>
      </c>
      <c r="K1" s="15" t="s">
        <v>456</v>
      </c>
      <c r="L1" s="16" t="s">
        <v>562</v>
      </c>
      <c r="N1" t="s">
        <v>559</v>
      </c>
    </row>
    <row r="2" spans="1:16" x14ac:dyDescent="0.2">
      <c r="A2" s="25">
        <v>1</v>
      </c>
      <c r="B2" s="26" t="s">
        <v>281</v>
      </c>
      <c r="D2" s="26" t="s">
        <v>0</v>
      </c>
      <c r="F2" s="17" t="s">
        <v>8</v>
      </c>
      <c r="G2" s="18" t="s">
        <v>476</v>
      </c>
      <c r="H2" s="19">
        <v>0.04</v>
      </c>
      <c r="J2" s="17">
        <v>1</v>
      </c>
      <c r="K2" s="18" t="s">
        <v>543</v>
      </c>
      <c r="L2" s="19">
        <v>16.3</v>
      </c>
      <c r="N2" s="34" t="s">
        <v>560</v>
      </c>
    </row>
    <row r="3" spans="1:16" x14ac:dyDescent="0.2">
      <c r="A3" s="27">
        <v>2</v>
      </c>
      <c r="B3" s="28" t="s">
        <v>273</v>
      </c>
      <c r="D3" s="28" t="s">
        <v>1</v>
      </c>
      <c r="F3" s="20" t="s">
        <v>8</v>
      </c>
      <c r="G3" s="21" t="s">
        <v>477</v>
      </c>
      <c r="H3" s="22">
        <v>4</v>
      </c>
      <c r="J3" s="20">
        <v>2</v>
      </c>
      <c r="K3" s="21" t="s">
        <v>531</v>
      </c>
      <c r="L3" s="22">
        <v>17.3</v>
      </c>
      <c r="N3" s="14" t="s">
        <v>563</v>
      </c>
      <c r="O3" s="15" t="s">
        <v>566</v>
      </c>
      <c r="P3" s="16" t="s">
        <v>564</v>
      </c>
    </row>
    <row r="4" spans="1:16" x14ac:dyDescent="0.2">
      <c r="A4" s="25">
        <v>3</v>
      </c>
      <c r="B4" s="26" t="s">
        <v>286</v>
      </c>
      <c r="D4" s="26" t="s">
        <v>1</v>
      </c>
      <c r="F4" s="17" t="s">
        <v>8</v>
      </c>
      <c r="G4" s="18" t="s">
        <v>478</v>
      </c>
      <c r="H4" s="19">
        <v>-2</v>
      </c>
      <c r="J4" s="17">
        <v>3</v>
      </c>
      <c r="K4" s="18" t="s">
        <v>538</v>
      </c>
      <c r="L4" s="19">
        <v>18.600000000000001</v>
      </c>
      <c r="N4" s="17" t="s">
        <v>510</v>
      </c>
      <c r="O4" s="18">
        <f t="shared" ref="O4:O10" si="0">H26</f>
        <v>15</v>
      </c>
      <c r="P4" s="19">
        <f>_xlfn.NORM.DIST(0.5,AVERAGE($L$2:$L$33),O11,TRUE)</f>
        <v>1.1651277164433546E-2</v>
      </c>
    </row>
    <row r="5" spans="1:16" x14ac:dyDescent="0.2">
      <c r="A5" s="27">
        <v>4</v>
      </c>
      <c r="B5" s="28" t="s">
        <v>274</v>
      </c>
      <c r="D5" s="28" t="s">
        <v>2</v>
      </c>
      <c r="F5" s="20" t="s">
        <v>8</v>
      </c>
      <c r="G5" s="21" t="s">
        <v>502</v>
      </c>
      <c r="H5" s="22">
        <v>0.1</v>
      </c>
      <c r="J5" s="20">
        <v>3</v>
      </c>
      <c r="K5" s="21" t="s">
        <v>528</v>
      </c>
      <c r="L5" s="22">
        <v>18.600000000000001</v>
      </c>
      <c r="N5" s="20" t="s">
        <v>511</v>
      </c>
      <c r="O5" s="21">
        <f t="shared" si="0"/>
        <v>10</v>
      </c>
      <c r="P5" s="22">
        <f>_xlfn.NORM.DIST(6.5,AVERAGE($L$2:$L$33),10,TRUE)-_xlfn.NORM.DIST(0.5,AVERAGE($L$2:$L$33),O11,TRUE)</f>
        <v>3.5963177465957862E-2</v>
      </c>
    </row>
    <row r="6" spans="1:16" x14ac:dyDescent="0.2">
      <c r="A6" s="25">
        <v>5</v>
      </c>
      <c r="B6" s="26" t="s">
        <v>275</v>
      </c>
      <c r="D6" s="26" t="s">
        <v>2</v>
      </c>
      <c r="F6" s="17" t="s">
        <v>8</v>
      </c>
      <c r="G6" s="18" t="s">
        <v>479</v>
      </c>
      <c r="H6" s="19">
        <v>6</v>
      </c>
      <c r="J6" s="17">
        <v>5</v>
      </c>
      <c r="K6" s="18" t="s">
        <v>541</v>
      </c>
      <c r="L6" s="19">
        <v>19.100000000000001</v>
      </c>
      <c r="N6" s="17" t="s">
        <v>512</v>
      </c>
      <c r="O6" s="18">
        <f t="shared" si="0"/>
        <v>8</v>
      </c>
      <c r="P6" s="19">
        <f>_xlfn.NORM.DIST(13.5,AVERAGE($L$2:$L$33),10,TRUE)-_xlfn.NORM.DIST(6.5,AVERAGE($L$2:$L$33),10,TRUE)</f>
        <v>0.11879850473663967</v>
      </c>
    </row>
    <row r="7" spans="1:16" x14ac:dyDescent="0.2">
      <c r="A7" s="27">
        <v>6</v>
      </c>
      <c r="B7" s="28" t="s">
        <v>276</v>
      </c>
      <c r="D7" s="28" t="s">
        <v>3</v>
      </c>
      <c r="F7" s="20" t="s">
        <v>8</v>
      </c>
      <c r="G7" s="21" t="s">
        <v>524</v>
      </c>
      <c r="H7" s="22">
        <v>0</v>
      </c>
      <c r="J7" s="20">
        <v>6</v>
      </c>
      <c r="K7" s="21" t="s">
        <v>544</v>
      </c>
      <c r="L7" s="22">
        <v>19.399999999999999</v>
      </c>
      <c r="N7" s="20" t="s">
        <v>513</v>
      </c>
      <c r="O7" s="21">
        <f t="shared" si="0"/>
        <v>5</v>
      </c>
      <c r="P7" s="22">
        <f>_xlfn.NORM.DIST(20.5,AVERAGE($L$2:$L$33),10,TRUE)-_xlfn.NORM.DIST(13.5,AVERAGE($L$2:$L$33),10,TRUE)</f>
        <v>0.22776832939730637</v>
      </c>
    </row>
    <row r="8" spans="1:16" x14ac:dyDescent="0.2">
      <c r="A8" s="25">
        <v>7</v>
      </c>
      <c r="B8" s="26" t="s">
        <v>277</v>
      </c>
      <c r="D8" s="26" t="s">
        <v>4</v>
      </c>
      <c r="F8" s="17" t="s">
        <v>8</v>
      </c>
      <c r="G8" s="18" t="s">
        <v>480</v>
      </c>
      <c r="H8" s="19">
        <v>0.1</v>
      </c>
      <c r="J8" s="17">
        <v>7</v>
      </c>
      <c r="K8" s="18" t="s">
        <v>533</v>
      </c>
      <c r="L8" s="19">
        <v>19.7</v>
      </c>
      <c r="N8" s="17" t="s">
        <v>514</v>
      </c>
      <c r="O8" s="18">
        <f t="shared" si="0"/>
        <v>1</v>
      </c>
      <c r="P8" s="19">
        <f>_xlfn.NORM.DIST(27.5,AVERAGE($L$2:$L$33),10,TRUE)-_xlfn.NORM.DIST(20.5,AVERAGE($L$2:$L$33),10,TRUE)</f>
        <v>0.27278900203829093</v>
      </c>
    </row>
    <row r="9" spans="1:16" x14ac:dyDescent="0.2">
      <c r="A9" s="27">
        <v>8</v>
      </c>
      <c r="B9" s="28" t="s">
        <v>278</v>
      </c>
      <c r="D9" s="28" t="s">
        <v>6</v>
      </c>
      <c r="F9" s="20" t="s">
        <v>8</v>
      </c>
      <c r="G9" s="21" t="s">
        <v>481</v>
      </c>
      <c r="H9" s="22">
        <v>6</v>
      </c>
      <c r="J9" s="20">
        <v>8</v>
      </c>
      <c r="K9" s="21" t="s">
        <v>536</v>
      </c>
      <c r="L9" s="22">
        <v>20.100000000000001</v>
      </c>
      <c r="N9" s="20" t="s">
        <v>565</v>
      </c>
      <c r="O9" s="21">
        <f t="shared" si="0"/>
        <v>-1</v>
      </c>
      <c r="P9" s="22">
        <f>_xlfn.NORM.DIST(34.5,AVERAGE($L$2:$L$33),10,TRUE)-_xlfn.NORM.DIST(27.5,AVERAGE($L$2:$L$33),10,TRUE)</f>
        <v>0.20412050255063618</v>
      </c>
    </row>
    <row r="10" spans="1:16" x14ac:dyDescent="0.2">
      <c r="A10" s="25">
        <v>9</v>
      </c>
      <c r="B10" s="26" t="s">
        <v>279</v>
      </c>
      <c r="D10" s="26" t="s">
        <v>5</v>
      </c>
      <c r="F10" s="17" t="s">
        <v>8</v>
      </c>
      <c r="G10" s="18" t="s">
        <v>314</v>
      </c>
      <c r="H10" s="19">
        <v>2</v>
      </c>
      <c r="J10" s="17">
        <v>9</v>
      </c>
      <c r="K10" s="18" t="s">
        <v>545</v>
      </c>
      <c r="L10" s="19">
        <v>20.3</v>
      </c>
      <c r="N10" s="17" t="s">
        <v>516</v>
      </c>
      <c r="O10" s="18">
        <f t="shared" si="0"/>
        <v>-4</v>
      </c>
      <c r="P10" s="19">
        <f>1-_xlfn.NORM.DIST(34.5,AVERAGE($L$2:$L$33),10,TRUE)</f>
        <v>0.12890920664673544</v>
      </c>
    </row>
    <row r="11" spans="1:16" x14ac:dyDescent="0.2">
      <c r="A11" s="27">
        <v>10</v>
      </c>
      <c r="B11" s="28" t="s">
        <v>280</v>
      </c>
      <c r="D11" s="28" t="s">
        <v>271</v>
      </c>
      <c r="F11" s="20" t="s">
        <v>8</v>
      </c>
      <c r="G11" s="21" t="s">
        <v>503</v>
      </c>
      <c r="H11" s="22">
        <v>-2</v>
      </c>
      <c r="J11" s="20">
        <v>10</v>
      </c>
      <c r="K11" s="21" t="s">
        <v>534</v>
      </c>
      <c r="L11" s="22">
        <v>20.9</v>
      </c>
      <c r="N11" s="35" t="s">
        <v>567</v>
      </c>
      <c r="O11">
        <v>10</v>
      </c>
      <c r="P11" s="36">
        <f>SUM(P4:P10)</f>
        <v>1</v>
      </c>
    </row>
    <row r="12" spans="1:16" x14ac:dyDescent="0.2">
      <c r="A12" s="25">
        <v>11</v>
      </c>
      <c r="B12" s="26" t="s">
        <v>272</v>
      </c>
      <c r="D12" s="26" t="s">
        <v>267</v>
      </c>
      <c r="F12" s="17" t="s">
        <v>8</v>
      </c>
      <c r="G12" s="18" t="s">
        <v>568</v>
      </c>
      <c r="H12" s="19">
        <v>6</v>
      </c>
      <c r="J12" s="17">
        <v>11</v>
      </c>
      <c r="K12" s="18" t="s">
        <v>537</v>
      </c>
      <c r="L12" s="19">
        <v>20.9</v>
      </c>
    </row>
    <row r="13" spans="1:16" x14ac:dyDescent="0.2">
      <c r="A13" s="29">
        <v>12</v>
      </c>
      <c r="B13" s="30" t="s">
        <v>282</v>
      </c>
      <c r="D13" s="28" t="s">
        <v>268</v>
      </c>
      <c r="F13" s="20" t="s">
        <v>9</v>
      </c>
      <c r="G13" s="21" t="s">
        <v>10</v>
      </c>
      <c r="H13" s="22">
        <v>3</v>
      </c>
      <c r="J13" s="20">
        <v>12</v>
      </c>
      <c r="K13" s="21" t="s">
        <v>532</v>
      </c>
      <c r="L13" s="22">
        <v>21.6</v>
      </c>
    </row>
    <row r="14" spans="1:16" x14ac:dyDescent="0.2">
      <c r="D14" s="26" t="s">
        <v>269</v>
      </c>
      <c r="F14" s="17" t="s">
        <v>9</v>
      </c>
      <c r="G14" s="18" t="s">
        <v>11</v>
      </c>
      <c r="H14" s="19">
        <v>3</v>
      </c>
      <c r="J14" s="17">
        <v>13</v>
      </c>
      <c r="K14" s="18" t="s">
        <v>551</v>
      </c>
      <c r="L14" s="19">
        <v>21.9</v>
      </c>
    </row>
    <row r="15" spans="1:16" x14ac:dyDescent="0.2">
      <c r="D15" s="30" t="s">
        <v>270</v>
      </c>
      <c r="F15" s="20" t="s">
        <v>9</v>
      </c>
      <c r="G15" s="21" t="s">
        <v>12</v>
      </c>
      <c r="H15" s="22">
        <v>3</v>
      </c>
      <c r="J15" s="20">
        <v>14</v>
      </c>
      <c r="K15" s="21" t="s">
        <v>554</v>
      </c>
      <c r="L15" s="22">
        <v>22.6</v>
      </c>
    </row>
    <row r="16" spans="1:16" x14ac:dyDescent="0.2">
      <c r="F16" s="17" t="s">
        <v>9</v>
      </c>
      <c r="G16" s="18" t="s">
        <v>13</v>
      </c>
      <c r="H16" s="19">
        <v>4</v>
      </c>
      <c r="J16" s="17">
        <v>15</v>
      </c>
      <c r="K16" s="18" t="s">
        <v>540</v>
      </c>
      <c r="L16" s="19">
        <v>22.9</v>
      </c>
    </row>
    <row r="17" spans="6:12" x14ac:dyDescent="0.2">
      <c r="F17" s="20" t="s">
        <v>9</v>
      </c>
      <c r="G17" s="21" t="s">
        <v>14</v>
      </c>
      <c r="H17" s="22">
        <v>5</v>
      </c>
      <c r="J17" s="20">
        <v>16</v>
      </c>
      <c r="K17" s="21" t="s">
        <v>549</v>
      </c>
      <c r="L17" s="22">
        <v>23.1</v>
      </c>
    </row>
    <row r="18" spans="6:12" x14ac:dyDescent="0.2">
      <c r="F18" s="17" t="s">
        <v>9</v>
      </c>
      <c r="G18" s="18" t="s">
        <v>504</v>
      </c>
      <c r="H18" s="19">
        <v>1</v>
      </c>
      <c r="J18" s="17">
        <v>16</v>
      </c>
      <c r="K18" s="18" t="s">
        <v>529</v>
      </c>
      <c r="L18" s="19">
        <v>23.1</v>
      </c>
    </row>
    <row r="19" spans="6:12" x14ac:dyDescent="0.2">
      <c r="F19" s="20" t="s">
        <v>287</v>
      </c>
      <c r="G19" s="21" t="s">
        <v>15</v>
      </c>
      <c r="H19" s="22">
        <v>1</v>
      </c>
      <c r="J19" s="20">
        <v>18</v>
      </c>
      <c r="K19" s="21" t="s">
        <v>539</v>
      </c>
      <c r="L19" s="22">
        <v>23.3</v>
      </c>
    </row>
    <row r="20" spans="6:12" x14ac:dyDescent="0.2">
      <c r="F20" s="17" t="s">
        <v>287</v>
      </c>
      <c r="G20" s="18" t="s">
        <v>312</v>
      </c>
      <c r="H20" s="19">
        <v>2</v>
      </c>
      <c r="J20" s="17">
        <v>19</v>
      </c>
      <c r="K20" s="18" t="s">
        <v>555</v>
      </c>
      <c r="L20" s="19">
        <v>23.7</v>
      </c>
    </row>
    <row r="21" spans="6:12" x14ac:dyDescent="0.2">
      <c r="F21" s="20" t="s">
        <v>287</v>
      </c>
      <c r="G21" s="21" t="s">
        <v>457</v>
      </c>
      <c r="H21" s="22">
        <v>2</v>
      </c>
      <c r="J21" s="20">
        <v>19</v>
      </c>
      <c r="K21" s="21" t="s">
        <v>556</v>
      </c>
      <c r="L21" s="22">
        <v>23.7</v>
      </c>
    </row>
    <row r="22" spans="6:12" x14ac:dyDescent="0.2">
      <c r="F22" s="17" t="s">
        <v>287</v>
      </c>
      <c r="G22" s="18" t="s">
        <v>506</v>
      </c>
      <c r="H22" s="19">
        <v>6</v>
      </c>
      <c r="J22" s="17">
        <v>21</v>
      </c>
      <c r="K22" s="18" t="s">
        <v>535</v>
      </c>
      <c r="L22" s="19">
        <v>24.1</v>
      </c>
    </row>
    <row r="23" spans="6:12" x14ac:dyDescent="0.2">
      <c r="F23" s="20" t="s">
        <v>287</v>
      </c>
      <c r="G23" s="21" t="s">
        <v>458</v>
      </c>
      <c r="H23" s="22">
        <v>5</v>
      </c>
      <c r="J23" s="20">
        <v>22</v>
      </c>
      <c r="K23" s="21" t="s">
        <v>552</v>
      </c>
      <c r="L23" s="22">
        <v>24.4</v>
      </c>
    </row>
    <row r="24" spans="6:12" x14ac:dyDescent="0.2">
      <c r="F24" s="17" t="s">
        <v>287</v>
      </c>
      <c r="G24" s="18" t="s">
        <v>517</v>
      </c>
      <c r="H24" s="19">
        <v>5</v>
      </c>
      <c r="J24" s="17">
        <v>23</v>
      </c>
      <c r="K24" s="18" t="s">
        <v>527</v>
      </c>
      <c r="L24" s="19">
        <v>24.6</v>
      </c>
    </row>
    <row r="25" spans="6:12" x14ac:dyDescent="0.2">
      <c r="F25" s="20" t="s">
        <v>287</v>
      </c>
      <c r="G25" s="21" t="s">
        <v>7</v>
      </c>
      <c r="H25" s="22">
        <v>6</v>
      </c>
      <c r="J25" s="20">
        <v>24</v>
      </c>
      <c r="K25" s="21" t="s">
        <v>542</v>
      </c>
      <c r="L25" s="22">
        <v>25.3</v>
      </c>
    </row>
    <row r="26" spans="6:12" x14ac:dyDescent="0.2">
      <c r="F26" s="17" t="s">
        <v>287</v>
      </c>
      <c r="G26" s="18" t="s">
        <v>510</v>
      </c>
      <c r="H26" s="19">
        <v>15</v>
      </c>
      <c r="J26" s="17">
        <v>25</v>
      </c>
      <c r="K26" s="18" t="s">
        <v>558</v>
      </c>
      <c r="L26" s="19">
        <v>25.9</v>
      </c>
    </row>
    <row r="27" spans="6:12" x14ac:dyDescent="0.2">
      <c r="F27" s="20" t="s">
        <v>287</v>
      </c>
      <c r="G27" s="21" t="s">
        <v>511</v>
      </c>
      <c r="H27" s="22">
        <v>10</v>
      </c>
      <c r="J27" s="20">
        <v>26</v>
      </c>
      <c r="K27" s="21" t="s">
        <v>550</v>
      </c>
      <c r="L27" s="22">
        <v>26.8</v>
      </c>
    </row>
    <row r="28" spans="6:12" x14ac:dyDescent="0.2">
      <c r="F28" s="17" t="s">
        <v>287</v>
      </c>
      <c r="G28" s="18" t="s">
        <v>512</v>
      </c>
      <c r="H28" s="19">
        <v>8</v>
      </c>
      <c r="J28" s="17">
        <v>27</v>
      </c>
      <c r="K28" s="18" t="s">
        <v>547</v>
      </c>
      <c r="L28" s="19">
        <v>27.7</v>
      </c>
    </row>
    <row r="29" spans="6:12" x14ac:dyDescent="0.2">
      <c r="F29" s="20" t="s">
        <v>287</v>
      </c>
      <c r="G29" s="21" t="s">
        <v>513</v>
      </c>
      <c r="H29" s="22">
        <v>5</v>
      </c>
      <c r="J29" s="20">
        <v>28</v>
      </c>
      <c r="K29" s="21" t="s">
        <v>557</v>
      </c>
      <c r="L29" s="22">
        <v>28.1</v>
      </c>
    </row>
    <row r="30" spans="6:12" x14ac:dyDescent="0.2">
      <c r="F30" s="17" t="s">
        <v>287</v>
      </c>
      <c r="G30" s="18" t="s">
        <v>514</v>
      </c>
      <c r="H30" s="19">
        <v>1</v>
      </c>
      <c r="J30" s="17">
        <v>29</v>
      </c>
      <c r="K30" s="18" t="s">
        <v>548</v>
      </c>
      <c r="L30" s="19">
        <v>28.3</v>
      </c>
    </row>
    <row r="31" spans="6:12" x14ac:dyDescent="0.2">
      <c r="F31" s="20" t="s">
        <v>287</v>
      </c>
      <c r="G31" s="21" t="s">
        <v>515</v>
      </c>
      <c r="H31" s="22">
        <v>-1</v>
      </c>
      <c r="J31" s="20">
        <v>30</v>
      </c>
      <c r="K31" s="21" t="s">
        <v>553</v>
      </c>
      <c r="L31" s="22">
        <v>28.4</v>
      </c>
    </row>
    <row r="32" spans="6:12" x14ac:dyDescent="0.2">
      <c r="F32" s="17" t="s">
        <v>287</v>
      </c>
      <c r="G32" s="18" t="s">
        <v>516</v>
      </c>
      <c r="H32" s="19">
        <v>-4</v>
      </c>
      <c r="J32" s="17">
        <v>31</v>
      </c>
      <c r="K32" s="18" t="s">
        <v>530</v>
      </c>
      <c r="L32" s="19">
        <v>30</v>
      </c>
    </row>
    <row r="33" spans="6:12" x14ac:dyDescent="0.2">
      <c r="F33" s="4" t="s">
        <v>287</v>
      </c>
      <c r="G33" s="5" t="s">
        <v>518</v>
      </c>
      <c r="H33" s="6">
        <v>2</v>
      </c>
      <c r="J33" s="4">
        <v>32</v>
      </c>
      <c r="K33" s="5" t="s">
        <v>546</v>
      </c>
      <c r="L33" s="6">
        <v>31.2</v>
      </c>
    </row>
    <row r="34" spans="6:12" x14ac:dyDescent="0.2">
      <c r="F34" s="4" t="s">
        <v>287</v>
      </c>
      <c r="G34" s="32" t="s">
        <v>526</v>
      </c>
      <c r="H34" s="33">
        <v>0</v>
      </c>
    </row>
  </sheetData>
  <hyperlinks>
    <hyperlink ref="N2" r:id="rId1" xr:uid="{22D244A6-89C0-4644-B95E-160CA89D70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0F40E-F84E-463E-A253-0930BC333C70}">
  <dimension ref="A1:O80"/>
  <sheetViews>
    <sheetView topLeftCell="A34" zoomScaleNormal="100" workbookViewId="0">
      <selection activeCell="B66" sqref="B66:N80"/>
    </sheetView>
  </sheetViews>
  <sheetFormatPr baseColWidth="10" defaultColWidth="8.83203125" defaultRowHeight="15" x14ac:dyDescent="0.2"/>
  <cols>
    <col min="1" max="1" width="5.6640625" customWidth="1"/>
    <col min="3" max="4" width="9.5" customWidth="1"/>
    <col min="9" max="12" width="10.33203125" customWidth="1"/>
    <col min="13" max="13" width="9.5" customWidth="1"/>
    <col min="15" max="15" width="5.6640625" customWidth="1"/>
  </cols>
  <sheetData>
    <row r="1" spans="1:15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x14ac:dyDescent="0.2">
      <c r="A2" s="3"/>
      <c r="B2" s="14" t="s">
        <v>569</v>
      </c>
      <c r="C2" s="15" t="s">
        <v>272</v>
      </c>
      <c r="D2" s="15" t="s">
        <v>273</v>
      </c>
      <c r="E2" s="15" t="s">
        <v>286</v>
      </c>
      <c r="F2" s="15" t="s">
        <v>274</v>
      </c>
      <c r="G2" s="15" t="s">
        <v>275</v>
      </c>
      <c r="H2" s="15" t="s">
        <v>276</v>
      </c>
      <c r="I2" s="15" t="s">
        <v>277</v>
      </c>
      <c r="J2" s="15" t="s">
        <v>278</v>
      </c>
      <c r="K2" s="15" t="s">
        <v>279</v>
      </c>
      <c r="L2" s="15" t="s">
        <v>280</v>
      </c>
      <c r="M2" s="15" t="s">
        <v>281</v>
      </c>
      <c r="N2" s="16" t="s">
        <v>282</v>
      </c>
      <c r="O2" s="3"/>
    </row>
    <row r="3" spans="1:15" x14ac:dyDescent="0.2">
      <c r="A3" s="3"/>
      <c r="B3" s="17">
        <v>1</v>
      </c>
      <c r="C3" s="18" t="s">
        <v>17</v>
      </c>
      <c r="D3" s="18" t="s">
        <v>17</v>
      </c>
      <c r="E3" s="18" t="s">
        <v>19</v>
      </c>
      <c r="F3" s="18" t="s">
        <v>19</v>
      </c>
      <c r="G3" s="18" t="s">
        <v>19</v>
      </c>
      <c r="H3" s="18" t="s">
        <v>17</v>
      </c>
      <c r="I3" s="18" t="s">
        <v>19</v>
      </c>
      <c r="J3" s="18" t="s">
        <v>17</v>
      </c>
      <c r="K3" s="18" t="s">
        <v>19</v>
      </c>
      <c r="L3" s="18" t="s">
        <v>43</v>
      </c>
      <c r="M3" s="18" t="s">
        <v>17</v>
      </c>
      <c r="N3" s="19" t="s">
        <v>19</v>
      </c>
      <c r="O3" s="3"/>
    </row>
    <row r="4" spans="1:15" x14ac:dyDescent="0.2">
      <c r="A4" s="3"/>
      <c r="B4" s="20">
        <f>B3+1</f>
        <v>2</v>
      </c>
      <c r="C4" s="21" t="s">
        <v>17</v>
      </c>
      <c r="D4" s="21" t="s">
        <v>19</v>
      </c>
      <c r="E4" s="21" t="s">
        <v>17</v>
      </c>
      <c r="F4" s="21" t="s">
        <v>17</v>
      </c>
      <c r="G4" s="21" t="s">
        <v>19</v>
      </c>
      <c r="H4" s="21" t="s">
        <v>19</v>
      </c>
      <c r="I4" s="21" t="s">
        <v>17</v>
      </c>
      <c r="J4" s="21" t="s">
        <v>17</v>
      </c>
      <c r="K4" s="21" t="s">
        <v>53</v>
      </c>
      <c r="L4" s="21" t="s">
        <v>19</v>
      </c>
      <c r="M4" s="21" t="s">
        <v>19</v>
      </c>
      <c r="N4" s="22" t="s">
        <v>17</v>
      </c>
      <c r="O4" s="3"/>
    </row>
    <row r="5" spans="1:15" x14ac:dyDescent="0.2">
      <c r="A5" s="3"/>
      <c r="B5" s="17">
        <f t="shared" ref="B5:B16" si="0">B4+1</f>
        <v>3</v>
      </c>
      <c r="C5" s="18" t="s">
        <v>19</v>
      </c>
      <c r="D5" s="18" t="s">
        <v>17</v>
      </c>
      <c r="E5" s="18" t="s">
        <v>17</v>
      </c>
      <c r="F5" s="18" t="s">
        <v>53</v>
      </c>
      <c r="G5" s="18" t="s">
        <v>17</v>
      </c>
      <c r="H5" s="18" t="s">
        <v>19</v>
      </c>
      <c r="I5" s="18" t="s">
        <v>19</v>
      </c>
      <c r="J5" s="18" t="s">
        <v>19</v>
      </c>
      <c r="K5" s="18" t="s">
        <v>17</v>
      </c>
      <c r="L5" s="18" t="s">
        <v>17</v>
      </c>
      <c r="M5" s="18" t="s">
        <v>43</v>
      </c>
      <c r="N5" s="19" t="s">
        <v>17</v>
      </c>
      <c r="O5" s="3"/>
    </row>
    <row r="6" spans="1:15" x14ac:dyDescent="0.2">
      <c r="A6" s="3"/>
      <c r="B6" s="20">
        <f t="shared" si="0"/>
        <v>4</v>
      </c>
      <c r="C6" s="21" t="s">
        <v>19</v>
      </c>
      <c r="D6" s="21" t="s">
        <v>43</v>
      </c>
      <c r="E6" s="21" t="s">
        <v>19</v>
      </c>
      <c r="F6" s="21" t="s">
        <v>43</v>
      </c>
      <c r="G6" s="21" t="s">
        <v>17</v>
      </c>
      <c r="H6" s="21" t="s">
        <v>17</v>
      </c>
      <c r="I6" s="21" t="s">
        <v>17</v>
      </c>
      <c r="J6" s="21" t="s">
        <v>19</v>
      </c>
      <c r="K6" s="21" t="s">
        <v>6</v>
      </c>
      <c r="L6" s="21" t="s">
        <v>53</v>
      </c>
      <c r="M6" s="21" t="s">
        <v>19</v>
      </c>
      <c r="N6" s="22" t="s">
        <v>19</v>
      </c>
      <c r="O6" s="3"/>
    </row>
    <row r="7" spans="1:15" x14ac:dyDescent="0.2">
      <c r="A7" s="3"/>
      <c r="B7" s="17">
        <f t="shared" si="0"/>
        <v>5</v>
      </c>
      <c r="C7" s="18" t="s">
        <v>43</v>
      </c>
      <c r="D7" s="18" t="s">
        <v>53</v>
      </c>
      <c r="E7" s="18" t="s">
        <v>53</v>
      </c>
      <c r="F7" s="18" t="s">
        <v>19</v>
      </c>
      <c r="G7" s="18" t="s">
        <v>43</v>
      </c>
      <c r="H7" s="18" t="s">
        <v>53</v>
      </c>
      <c r="I7" s="18" t="s">
        <v>283</v>
      </c>
      <c r="J7" s="18" t="s">
        <v>53</v>
      </c>
      <c r="K7" s="18" t="s">
        <v>284</v>
      </c>
      <c r="L7" s="18" t="s">
        <v>19</v>
      </c>
      <c r="M7" s="18" t="s">
        <v>17</v>
      </c>
      <c r="N7" s="19" t="s">
        <v>17</v>
      </c>
      <c r="O7" s="3"/>
    </row>
    <row r="8" spans="1:15" x14ac:dyDescent="0.2">
      <c r="A8" s="3"/>
      <c r="B8" s="20">
        <f t="shared" si="0"/>
        <v>6</v>
      </c>
      <c r="C8" s="21" t="s">
        <v>53</v>
      </c>
      <c r="D8" s="21" t="s">
        <v>19</v>
      </c>
      <c r="E8" s="21" t="s">
        <v>43</v>
      </c>
      <c r="F8" s="21" t="s">
        <v>17</v>
      </c>
      <c r="G8" s="21" t="s">
        <v>19</v>
      </c>
      <c r="H8" s="21" t="s">
        <v>43</v>
      </c>
      <c r="I8" s="21" t="s">
        <v>53</v>
      </c>
      <c r="J8" s="21" t="s">
        <v>43</v>
      </c>
      <c r="K8" s="21" t="s">
        <v>17</v>
      </c>
      <c r="L8" s="21" t="s">
        <v>17</v>
      </c>
      <c r="M8" s="21" t="s">
        <v>53</v>
      </c>
      <c r="N8" s="22" t="s">
        <v>43</v>
      </c>
      <c r="O8" s="3"/>
    </row>
    <row r="9" spans="1:15" x14ac:dyDescent="0.2">
      <c r="A9" s="3"/>
      <c r="B9" s="17">
        <f t="shared" si="0"/>
        <v>7</v>
      </c>
      <c r="C9" s="18" t="s">
        <v>17</v>
      </c>
      <c r="D9" s="18" t="s">
        <v>17</v>
      </c>
      <c r="E9" s="18" t="s">
        <v>17</v>
      </c>
      <c r="F9" s="18" t="s">
        <v>284</v>
      </c>
      <c r="G9" s="18" t="s">
        <v>284</v>
      </c>
      <c r="H9" s="18" t="s">
        <v>19</v>
      </c>
      <c r="I9" s="18" t="s">
        <v>284</v>
      </c>
      <c r="J9" s="18" t="s">
        <v>19</v>
      </c>
      <c r="K9" s="18" t="s">
        <v>284</v>
      </c>
      <c r="L9" s="18" t="s">
        <v>17</v>
      </c>
      <c r="M9" s="18" t="s">
        <v>17</v>
      </c>
      <c r="N9" s="19" t="s">
        <v>284</v>
      </c>
      <c r="O9" s="3"/>
    </row>
    <row r="10" spans="1:15" x14ac:dyDescent="0.2">
      <c r="A10" s="3"/>
      <c r="B10" s="20">
        <f t="shared" si="0"/>
        <v>8</v>
      </c>
      <c r="C10" s="21" t="s">
        <v>285</v>
      </c>
      <c r="D10" s="21" t="s">
        <v>284</v>
      </c>
      <c r="E10" s="21" t="s">
        <v>284</v>
      </c>
      <c r="F10" s="21" t="s">
        <v>6</v>
      </c>
      <c r="G10" s="21" t="s">
        <v>6</v>
      </c>
      <c r="H10" s="21" t="s">
        <v>284</v>
      </c>
      <c r="I10" s="21" t="s">
        <v>6</v>
      </c>
      <c r="J10" s="21" t="s">
        <v>6</v>
      </c>
      <c r="K10" s="21" t="s">
        <v>19</v>
      </c>
      <c r="L10" s="21" t="s">
        <v>284</v>
      </c>
      <c r="M10" s="21" t="s">
        <v>284</v>
      </c>
      <c r="N10" s="22" t="s">
        <v>6</v>
      </c>
      <c r="O10" s="3"/>
    </row>
    <row r="11" spans="1:15" x14ac:dyDescent="0.2">
      <c r="A11" s="3"/>
      <c r="B11" s="17">
        <f t="shared" si="0"/>
        <v>9</v>
      </c>
      <c r="C11" s="18" t="s">
        <v>6</v>
      </c>
      <c r="D11" s="18" t="s">
        <v>6</v>
      </c>
      <c r="E11" s="18" t="s">
        <v>6</v>
      </c>
      <c r="F11" s="18" t="s">
        <v>19</v>
      </c>
      <c r="G11" s="18" t="s">
        <v>53</v>
      </c>
      <c r="H11" s="18" t="s">
        <v>6</v>
      </c>
      <c r="I11" s="18" t="s">
        <v>43</v>
      </c>
      <c r="J11" s="18" t="s">
        <v>284</v>
      </c>
      <c r="K11" s="18" t="s">
        <v>17</v>
      </c>
      <c r="L11" s="18" t="s">
        <v>6</v>
      </c>
      <c r="M11" s="18" t="s">
        <v>6</v>
      </c>
      <c r="N11" s="19" t="s">
        <v>53</v>
      </c>
      <c r="O11" s="3"/>
    </row>
    <row r="12" spans="1:15" x14ac:dyDescent="0.2">
      <c r="A12" s="3"/>
      <c r="B12" s="20">
        <f t="shared" si="0"/>
        <v>10</v>
      </c>
      <c r="C12" s="21" t="s">
        <v>19</v>
      </c>
      <c r="D12" s="21" t="s">
        <v>19</v>
      </c>
      <c r="E12" s="21" t="s">
        <v>17</v>
      </c>
      <c r="F12" s="21" t="s">
        <v>17</v>
      </c>
      <c r="G12" s="21" t="s">
        <v>17</v>
      </c>
      <c r="H12" s="21" t="s">
        <v>53</v>
      </c>
      <c r="I12" s="21" t="s">
        <v>284</v>
      </c>
      <c r="J12" s="21" t="s">
        <v>19</v>
      </c>
      <c r="K12" s="21" t="s">
        <v>43</v>
      </c>
      <c r="L12" s="21" t="s">
        <v>19</v>
      </c>
      <c r="M12" s="21" t="s">
        <v>19</v>
      </c>
      <c r="N12" s="22" t="s">
        <v>19</v>
      </c>
      <c r="O12" s="3"/>
    </row>
    <row r="13" spans="1:15" x14ac:dyDescent="0.2">
      <c r="A13" s="3"/>
      <c r="B13" s="17">
        <f t="shared" si="0"/>
        <v>11</v>
      </c>
      <c r="C13" s="18" t="s">
        <v>17</v>
      </c>
      <c r="D13" s="18" t="s">
        <v>17</v>
      </c>
      <c r="E13" s="18" t="s">
        <v>19</v>
      </c>
      <c r="F13" s="18" t="s">
        <v>19</v>
      </c>
      <c r="G13" s="18" t="s">
        <v>53</v>
      </c>
      <c r="H13" s="18" t="s">
        <v>284</v>
      </c>
      <c r="I13" s="18" t="s">
        <v>43</v>
      </c>
      <c r="J13" s="18" t="s">
        <v>53</v>
      </c>
      <c r="K13" s="18" t="s">
        <v>19</v>
      </c>
      <c r="L13" s="18" t="s">
        <v>17</v>
      </c>
      <c r="M13" s="18" t="s">
        <v>43</v>
      </c>
      <c r="N13" s="19" t="s">
        <v>17</v>
      </c>
      <c r="O13" s="3"/>
    </row>
    <row r="14" spans="1:15" x14ac:dyDescent="0.2">
      <c r="A14" s="3"/>
      <c r="B14" s="20">
        <f t="shared" si="0"/>
        <v>12</v>
      </c>
      <c r="C14" s="21" t="s">
        <v>53</v>
      </c>
      <c r="D14" s="21" t="s">
        <v>53</v>
      </c>
      <c r="E14" s="21" t="s">
        <v>53</v>
      </c>
      <c r="F14" s="21" t="s">
        <v>43</v>
      </c>
      <c r="G14" s="21" t="s">
        <v>19</v>
      </c>
      <c r="H14" s="21" t="s">
        <v>43</v>
      </c>
      <c r="I14" s="21" t="s">
        <v>19</v>
      </c>
      <c r="J14" s="21" t="s">
        <v>17</v>
      </c>
      <c r="K14" s="21" t="s">
        <v>19</v>
      </c>
      <c r="L14" s="21" t="s">
        <v>53</v>
      </c>
      <c r="M14" s="21" t="s">
        <v>53</v>
      </c>
      <c r="N14" s="22" t="s">
        <v>19</v>
      </c>
      <c r="O14" s="3"/>
    </row>
    <row r="15" spans="1:15" x14ac:dyDescent="0.2">
      <c r="A15" s="3"/>
      <c r="B15" s="17">
        <f t="shared" si="0"/>
        <v>13</v>
      </c>
      <c r="C15" s="18" t="s">
        <v>43</v>
      </c>
      <c r="D15" s="18" t="s">
        <v>284</v>
      </c>
      <c r="E15" s="18" t="s">
        <v>43</v>
      </c>
      <c r="F15" s="18" t="s">
        <v>53</v>
      </c>
      <c r="G15" s="18" t="s">
        <v>17</v>
      </c>
      <c r="H15" s="18" t="s">
        <v>19</v>
      </c>
      <c r="I15" s="18" t="s">
        <v>17</v>
      </c>
      <c r="J15" s="18" t="s">
        <v>17</v>
      </c>
      <c r="K15" s="18" t="s">
        <v>53</v>
      </c>
      <c r="L15" s="18" t="s">
        <v>43</v>
      </c>
      <c r="M15" s="18" t="s">
        <v>17</v>
      </c>
      <c r="N15" s="19" t="s">
        <v>19</v>
      </c>
      <c r="O15" s="3"/>
    </row>
    <row r="16" spans="1:15" x14ac:dyDescent="0.2">
      <c r="A16" s="3"/>
      <c r="B16" s="4">
        <f t="shared" si="0"/>
        <v>14</v>
      </c>
      <c r="C16" s="5" t="s">
        <v>19</v>
      </c>
      <c r="D16" s="5" t="s">
        <v>17</v>
      </c>
      <c r="E16" s="5" t="s">
        <v>19</v>
      </c>
      <c r="F16" s="5" t="s">
        <v>6</v>
      </c>
      <c r="G16" s="5" t="s">
        <v>19</v>
      </c>
      <c r="H16" s="5" t="s">
        <v>53</v>
      </c>
      <c r="I16" s="5" t="s">
        <v>19</v>
      </c>
      <c r="J16" s="5" t="s">
        <v>43</v>
      </c>
      <c r="K16" s="5" t="s">
        <v>43</v>
      </c>
      <c r="L16" s="5" t="s">
        <v>19</v>
      </c>
      <c r="M16" s="5" t="s">
        <v>284</v>
      </c>
      <c r="N16" s="6" t="s">
        <v>17</v>
      </c>
      <c r="O16" s="3"/>
    </row>
    <row r="17" spans="1:1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/>
      <c r="B18" s="14" t="s">
        <v>570</v>
      </c>
      <c r="C18" s="15" t="s">
        <v>273</v>
      </c>
      <c r="D18" s="15" t="s">
        <v>282</v>
      </c>
      <c r="E18" s="15" t="s">
        <v>275</v>
      </c>
      <c r="F18" s="15" t="s">
        <v>274</v>
      </c>
      <c r="G18" s="15" t="s">
        <v>276</v>
      </c>
      <c r="H18" s="15" t="s">
        <v>277</v>
      </c>
      <c r="I18" s="15" t="s">
        <v>281</v>
      </c>
      <c r="J18" s="15" t="s">
        <v>279</v>
      </c>
      <c r="K18" s="15" t="s">
        <v>280</v>
      </c>
      <c r="L18" s="15" t="s">
        <v>272</v>
      </c>
      <c r="M18" s="15" t="s">
        <v>286</v>
      </c>
      <c r="N18" s="16" t="s">
        <v>278</v>
      </c>
      <c r="O18" s="3"/>
    </row>
    <row r="19" spans="1:15" x14ac:dyDescent="0.2">
      <c r="A19" s="3"/>
      <c r="B19" s="17">
        <v>1</v>
      </c>
      <c r="C19" s="18" t="s">
        <v>19</v>
      </c>
      <c r="D19" s="18" t="s">
        <v>19</v>
      </c>
      <c r="E19" s="18" t="s">
        <v>19</v>
      </c>
      <c r="F19" s="18" t="s">
        <v>17</v>
      </c>
      <c r="G19" s="18" t="s">
        <v>17</v>
      </c>
      <c r="H19" s="18" t="s">
        <v>19</v>
      </c>
      <c r="I19" s="18" t="s">
        <v>17</v>
      </c>
      <c r="J19" s="18" t="s">
        <v>53</v>
      </c>
      <c r="K19" s="18" t="s">
        <v>17</v>
      </c>
      <c r="L19" s="18" t="s">
        <v>17</v>
      </c>
      <c r="M19" s="18" t="s">
        <v>17</v>
      </c>
      <c r="N19" s="19" t="s">
        <v>19</v>
      </c>
      <c r="O19" s="3"/>
    </row>
    <row r="20" spans="1:15" x14ac:dyDescent="0.2">
      <c r="A20" s="3"/>
      <c r="B20" s="20">
        <v>2</v>
      </c>
      <c r="C20" s="21" t="s">
        <v>17</v>
      </c>
      <c r="D20" s="21" t="s">
        <v>17</v>
      </c>
      <c r="E20" s="21" t="s">
        <v>19</v>
      </c>
      <c r="F20" s="21" t="s">
        <v>19</v>
      </c>
      <c r="G20" s="21" t="s">
        <v>19</v>
      </c>
      <c r="H20" s="21" t="s">
        <v>19</v>
      </c>
      <c r="I20" s="21" t="s">
        <v>19</v>
      </c>
      <c r="J20" s="21" t="s">
        <v>19</v>
      </c>
      <c r="K20" s="21" t="s">
        <v>53</v>
      </c>
      <c r="L20" s="21" t="s">
        <v>19</v>
      </c>
      <c r="M20" s="21" t="s">
        <v>19</v>
      </c>
      <c r="N20" s="22" t="s">
        <v>19</v>
      </c>
      <c r="O20" s="3"/>
    </row>
    <row r="21" spans="1:15" x14ac:dyDescent="0.2">
      <c r="A21" s="3"/>
      <c r="B21" s="17">
        <v>3</v>
      </c>
      <c r="C21" s="18" t="s">
        <v>19</v>
      </c>
      <c r="D21" s="18" t="s">
        <v>17</v>
      </c>
      <c r="E21" s="18" t="s">
        <v>53</v>
      </c>
      <c r="F21" s="18" t="s">
        <v>43</v>
      </c>
      <c r="G21" s="18" t="s">
        <v>17</v>
      </c>
      <c r="H21" s="18" t="s">
        <v>17</v>
      </c>
      <c r="I21" s="18" t="s">
        <v>53</v>
      </c>
      <c r="J21" s="18" t="s">
        <v>17</v>
      </c>
      <c r="K21" s="18" t="s">
        <v>19</v>
      </c>
      <c r="L21" s="18" t="s">
        <v>17</v>
      </c>
      <c r="M21" s="18" t="s">
        <v>19</v>
      </c>
      <c r="N21" s="19" t="s">
        <v>17</v>
      </c>
      <c r="O21" s="3"/>
    </row>
    <row r="22" spans="1:15" x14ac:dyDescent="0.2">
      <c r="A22" s="3"/>
      <c r="B22" s="20">
        <v>4</v>
      </c>
      <c r="C22" s="21" t="s">
        <v>17</v>
      </c>
      <c r="D22" s="21" t="s">
        <v>43</v>
      </c>
      <c r="E22" s="21" t="s">
        <v>17</v>
      </c>
      <c r="F22" s="21" t="s">
        <v>53</v>
      </c>
      <c r="G22" s="21" t="s">
        <v>19</v>
      </c>
      <c r="H22" s="21" t="s">
        <v>17</v>
      </c>
      <c r="I22" s="21" t="s">
        <v>19</v>
      </c>
      <c r="J22" s="21" t="s">
        <v>17</v>
      </c>
      <c r="K22" s="21" t="s">
        <v>17</v>
      </c>
      <c r="L22" s="21" t="s">
        <v>53</v>
      </c>
      <c r="M22" s="21" t="s">
        <v>17</v>
      </c>
      <c r="N22" s="22" t="s">
        <v>17</v>
      </c>
      <c r="O22" s="3"/>
    </row>
    <row r="23" spans="1:15" x14ac:dyDescent="0.2">
      <c r="A23" s="3"/>
      <c r="B23" s="17">
        <v>5</v>
      </c>
      <c r="C23" s="18" t="s">
        <v>43</v>
      </c>
      <c r="D23" s="18" t="s">
        <v>19</v>
      </c>
      <c r="E23" s="18" t="s">
        <v>43</v>
      </c>
      <c r="F23" s="18" t="s">
        <v>19</v>
      </c>
      <c r="G23" s="18" t="s">
        <v>53</v>
      </c>
      <c r="H23" s="18" t="s">
        <v>43</v>
      </c>
      <c r="I23" s="18" t="s">
        <v>43</v>
      </c>
      <c r="J23" s="18" t="s">
        <v>17</v>
      </c>
      <c r="K23" s="18" t="s">
        <v>19</v>
      </c>
      <c r="L23" s="18" t="s">
        <v>19</v>
      </c>
      <c r="M23" s="18" t="s">
        <v>17</v>
      </c>
      <c r="N23" s="19" t="s">
        <v>17</v>
      </c>
      <c r="O23" s="3"/>
    </row>
    <row r="24" spans="1:15" x14ac:dyDescent="0.2">
      <c r="A24" s="3"/>
      <c r="B24" s="20">
        <v>6</v>
      </c>
      <c r="C24" s="21" t="s">
        <v>19</v>
      </c>
      <c r="D24" s="21" t="s">
        <v>17</v>
      </c>
      <c r="E24" s="21" t="s">
        <v>284</v>
      </c>
      <c r="F24" s="21" t="s">
        <v>17</v>
      </c>
      <c r="G24" s="21" t="s">
        <v>17</v>
      </c>
      <c r="H24" s="21" t="s">
        <v>17</v>
      </c>
      <c r="I24" s="21" t="s">
        <v>19</v>
      </c>
      <c r="J24" s="21" t="s">
        <v>19</v>
      </c>
      <c r="K24" s="21" t="s">
        <v>43</v>
      </c>
      <c r="L24" s="21" t="s">
        <v>43</v>
      </c>
      <c r="M24" s="21" t="s">
        <v>53</v>
      </c>
      <c r="N24" s="22" t="s">
        <v>43</v>
      </c>
      <c r="O24" s="3"/>
    </row>
    <row r="25" spans="1:15" x14ac:dyDescent="0.2">
      <c r="A25" s="3"/>
      <c r="B25" s="17">
        <v>7</v>
      </c>
      <c r="C25" s="18" t="s">
        <v>53</v>
      </c>
      <c r="D25" s="18" t="s">
        <v>284</v>
      </c>
      <c r="E25" s="18" t="s">
        <v>17</v>
      </c>
      <c r="F25" s="18" t="s">
        <v>284</v>
      </c>
      <c r="G25" s="18" t="s">
        <v>284</v>
      </c>
      <c r="H25" s="18" t="s">
        <v>53</v>
      </c>
      <c r="I25" s="18" t="s">
        <v>284</v>
      </c>
      <c r="J25" s="18" t="s">
        <v>284</v>
      </c>
      <c r="K25" s="18" t="s">
        <v>6</v>
      </c>
      <c r="L25" s="18" t="s">
        <v>284</v>
      </c>
      <c r="M25" s="18" t="s">
        <v>43</v>
      </c>
      <c r="N25" s="19" t="s">
        <v>6</v>
      </c>
      <c r="O25" s="3"/>
    </row>
    <row r="26" spans="1:15" x14ac:dyDescent="0.2">
      <c r="A26" s="3"/>
      <c r="B26" s="20">
        <v>8</v>
      </c>
      <c r="C26" s="21" t="s">
        <v>284</v>
      </c>
      <c r="D26" s="21" t="s">
        <v>6</v>
      </c>
      <c r="E26" s="21" t="s">
        <v>17</v>
      </c>
      <c r="F26" s="21" t="s">
        <v>6</v>
      </c>
      <c r="G26" s="21" t="s">
        <v>43</v>
      </c>
      <c r="H26" s="21" t="s">
        <v>284</v>
      </c>
      <c r="I26" s="21" t="s">
        <v>6</v>
      </c>
      <c r="J26" s="21" t="s">
        <v>6</v>
      </c>
      <c r="K26" s="21" t="s">
        <v>17</v>
      </c>
      <c r="L26" s="21" t="s">
        <v>17</v>
      </c>
      <c r="M26" s="21" t="s">
        <v>6</v>
      </c>
      <c r="N26" s="22" t="s">
        <v>53</v>
      </c>
      <c r="O26" s="3"/>
    </row>
    <row r="27" spans="1:15" x14ac:dyDescent="0.2">
      <c r="A27" s="3"/>
      <c r="B27" s="17">
        <v>9</v>
      </c>
      <c r="C27" s="18" t="s">
        <v>6</v>
      </c>
      <c r="D27" s="18" t="s">
        <v>53</v>
      </c>
      <c r="E27" s="18" t="s">
        <v>6</v>
      </c>
      <c r="F27" s="18" t="s">
        <v>19</v>
      </c>
      <c r="G27" s="18" t="s">
        <v>6</v>
      </c>
      <c r="H27" s="18" t="s">
        <v>6</v>
      </c>
      <c r="I27" s="18" t="s">
        <v>17</v>
      </c>
      <c r="J27" s="18" t="s">
        <v>43</v>
      </c>
      <c r="K27" s="18" t="s">
        <v>284</v>
      </c>
      <c r="L27" s="18" t="s">
        <v>6</v>
      </c>
      <c r="M27" s="18" t="s">
        <v>284</v>
      </c>
      <c r="N27" s="19" t="s">
        <v>284</v>
      </c>
      <c r="O27" s="3"/>
    </row>
    <row r="28" spans="1:15" x14ac:dyDescent="0.2">
      <c r="A28" s="3"/>
      <c r="B28" s="20">
        <v>10</v>
      </c>
      <c r="C28" s="21" t="s">
        <v>19</v>
      </c>
      <c r="D28" s="21" t="s">
        <v>17</v>
      </c>
      <c r="E28" s="21" t="s">
        <v>19</v>
      </c>
      <c r="F28" s="21" t="s">
        <v>19</v>
      </c>
      <c r="G28" s="21" t="s">
        <v>17</v>
      </c>
      <c r="H28" s="21" t="s">
        <v>19</v>
      </c>
      <c r="I28" s="21" t="s">
        <v>17</v>
      </c>
      <c r="J28" s="21" t="s">
        <v>53</v>
      </c>
      <c r="K28" s="21" t="s">
        <v>17</v>
      </c>
      <c r="L28" s="21" t="s">
        <v>43</v>
      </c>
      <c r="M28" s="21" t="s">
        <v>17</v>
      </c>
      <c r="N28" s="22" t="s">
        <v>19</v>
      </c>
      <c r="O28" s="3"/>
    </row>
    <row r="29" spans="1:15" x14ac:dyDescent="0.2">
      <c r="A29" s="3"/>
      <c r="B29" s="17">
        <v>11</v>
      </c>
      <c r="C29" s="18" t="s">
        <v>17</v>
      </c>
      <c r="D29" s="18" t="s">
        <v>53</v>
      </c>
      <c r="E29" s="18" t="s">
        <v>19</v>
      </c>
      <c r="F29" s="18" t="s">
        <v>53</v>
      </c>
      <c r="G29" s="18" t="s">
        <v>19</v>
      </c>
      <c r="H29" s="18" t="s">
        <v>17</v>
      </c>
      <c r="I29" s="18" t="s">
        <v>19</v>
      </c>
      <c r="J29" s="18" t="s">
        <v>43</v>
      </c>
      <c r="K29" s="18" t="s">
        <v>19</v>
      </c>
      <c r="L29" s="18" t="s">
        <v>17</v>
      </c>
      <c r="M29" s="18" t="s">
        <v>19</v>
      </c>
      <c r="N29" s="19" t="s">
        <v>17</v>
      </c>
      <c r="O29" s="3"/>
    </row>
    <row r="30" spans="1:15" x14ac:dyDescent="0.2">
      <c r="A30" s="3"/>
      <c r="B30" s="20">
        <v>12</v>
      </c>
      <c r="C30" s="21" t="s">
        <v>19</v>
      </c>
      <c r="D30" s="21" t="s">
        <v>19</v>
      </c>
      <c r="E30" s="21" t="s">
        <v>284</v>
      </c>
      <c r="F30" s="21" t="s">
        <v>17</v>
      </c>
      <c r="G30" s="21" t="s">
        <v>43</v>
      </c>
      <c r="H30" s="21" t="s">
        <v>19</v>
      </c>
      <c r="I30" s="21" t="s">
        <v>284</v>
      </c>
      <c r="J30" s="21" t="s">
        <v>19</v>
      </c>
      <c r="K30" s="21" t="s">
        <v>43</v>
      </c>
      <c r="L30" s="21" t="s">
        <v>19</v>
      </c>
      <c r="M30" s="21" t="s">
        <v>19</v>
      </c>
      <c r="N30" s="22" t="s">
        <v>19</v>
      </c>
      <c r="O30" s="3"/>
    </row>
    <row r="31" spans="1:15" x14ac:dyDescent="0.2">
      <c r="A31" s="3"/>
      <c r="B31" s="17">
        <v>13</v>
      </c>
      <c r="C31" s="18" t="s">
        <v>17</v>
      </c>
      <c r="D31" s="18" t="s">
        <v>19</v>
      </c>
      <c r="E31" s="18" t="s">
        <v>17</v>
      </c>
      <c r="F31" s="18" t="s">
        <v>19</v>
      </c>
      <c r="G31" s="18" t="s">
        <v>53</v>
      </c>
      <c r="H31" s="18" t="s">
        <v>53</v>
      </c>
      <c r="I31" s="18" t="s">
        <v>17</v>
      </c>
      <c r="J31" s="18" t="s">
        <v>284</v>
      </c>
      <c r="K31" s="18" t="s">
        <v>53</v>
      </c>
      <c r="L31" s="18" t="s">
        <v>17</v>
      </c>
      <c r="M31" s="18" t="s">
        <v>17</v>
      </c>
      <c r="N31" s="19" t="s">
        <v>17</v>
      </c>
      <c r="O31" s="3"/>
    </row>
    <row r="32" spans="1:15" x14ac:dyDescent="0.2">
      <c r="A32" s="3"/>
      <c r="B32" s="4">
        <v>14</v>
      </c>
      <c r="C32" s="5" t="s">
        <v>43</v>
      </c>
      <c r="D32" s="5" t="s">
        <v>17</v>
      </c>
      <c r="E32" s="5" t="s">
        <v>43</v>
      </c>
      <c r="F32" s="5" t="s">
        <v>43</v>
      </c>
      <c r="G32" s="5" t="s">
        <v>284</v>
      </c>
      <c r="H32" s="5" t="s">
        <v>19</v>
      </c>
      <c r="I32" s="5" t="s">
        <v>53</v>
      </c>
      <c r="J32" s="5" t="s">
        <v>17</v>
      </c>
      <c r="K32" s="5" t="s">
        <v>19</v>
      </c>
      <c r="L32" s="5" t="s">
        <v>19</v>
      </c>
      <c r="M32" s="5" t="s">
        <v>53</v>
      </c>
      <c r="N32" s="6" t="s">
        <v>17</v>
      </c>
      <c r="O32" s="3"/>
    </row>
    <row r="33" spans="1:1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/>
      <c r="B34" s="14" t="s">
        <v>571</v>
      </c>
      <c r="C34" s="15" t="s">
        <v>286</v>
      </c>
      <c r="D34" s="15" t="s">
        <v>280</v>
      </c>
      <c r="E34" s="15" t="s">
        <v>282</v>
      </c>
      <c r="F34" s="15" t="s">
        <v>275</v>
      </c>
      <c r="G34" s="15" t="s">
        <v>281</v>
      </c>
      <c r="H34" s="15" t="s">
        <v>272</v>
      </c>
      <c r="I34" s="15" t="s">
        <v>279</v>
      </c>
      <c r="J34" s="15" t="s">
        <v>273</v>
      </c>
      <c r="K34" s="15" t="s">
        <v>274</v>
      </c>
      <c r="L34" s="15" t="s">
        <v>277</v>
      </c>
      <c r="M34" s="15" t="s">
        <v>276</v>
      </c>
      <c r="N34" s="16" t="s">
        <v>278</v>
      </c>
      <c r="O34" s="3"/>
    </row>
    <row r="35" spans="1:15" x14ac:dyDescent="0.2">
      <c r="A35" s="3"/>
      <c r="B35" s="17">
        <v>1</v>
      </c>
      <c r="C35" s="18" t="s">
        <v>19</v>
      </c>
      <c r="D35" s="18" t="s">
        <v>19</v>
      </c>
      <c r="E35" s="18" t="s">
        <v>19</v>
      </c>
      <c r="F35" s="18" t="s">
        <v>19</v>
      </c>
      <c r="G35" s="18" t="s">
        <v>19</v>
      </c>
      <c r="H35" s="18" t="s">
        <v>17</v>
      </c>
      <c r="I35" s="18" t="s">
        <v>17</v>
      </c>
      <c r="J35" s="18" t="s">
        <v>19</v>
      </c>
      <c r="K35" s="18" t="s">
        <v>19</v>
      </c>
      <c r="L35" s="18" t="s">
        <v>19</v>
      </c>
      <c r="M35" s="18" t="s">
        <v>19</v>
      </c>
      <c r="N35" s="19" t="s">
        <v>19</v>
      </c>
      <c r="O35" s="3"/>
    </row>
    <row r="36" spans="1:15" x14ac:dyDescent="0.2">
      <c r="A36" s="3"/>
      <c r="B36" s="20">
        <v>2</v>
      </c>
      <c r="C36" s="21" t="s">
        <v>19</v>
      </c>
      <c r="D36" s="21" t="s">
        <v>19</v>
      </c>
      <c r="E36" s="21" t="s">
        <v>53</v>
      </c>
      <c r="F36" s="21" t="s">
        <v>19</v>
      </c>
      <c r="G36" s="21" t="s">
        <v>43</v>
      </c>
      <c r="H36" s="21" t="s">
        <v>19</v>
      </c>
      <c r="I36" s="21" t="s">
        <v>19</v>
      </c>
      <c r="J36" s="21" t="s">
        <v>17</v>
      </c>
      <c r="K36" s="21" t="s">
        <v>17</v>
      </c>
      <c r="L36" s="21" t="s">
        <v>17</v>
      </c>
      <c r="M36" s="21" t="s">
        <v>17</v>
      </c>
      <c r="N36" s="22" t="s">
        <v>17</v>
      </c>
      <c r="O36" s="3"/>
    </row>
    <row r="37" spans="1:15" x14ac:dyDescent="0.2">
      <c r="A37" s="3"/>
      <c r="B37" s="17">
        <v>3</v>
      </c>
      <c r="C37" s="18" t="s">
        <v>17</v>
      </c>
      <c r="D37" s="18" t="s">
        <v>17</v>
      </c>
      <c r="E37" s="18" t="s">
        <v>17</v>
      </c>
      <c r="F37" s="18" t="s">
        <v>19</v>
      </c>
      <c r="G37" s="18" t="s">
        <v>19</v>
      </c>
      <c r="H37" s="18" t="s">
        <v>17</v>
      </c>
      <c r="I37" s="18" t="s">
        <v>17</v>
      </c>
      <c r="J37" s="18" t="s">
        <v>17</v>
      </c>
      <c r="K37" s="18" t="s">
        <v>43</v>
      </c>
      <c r="L37" s="18" t="s">
        <v>19</v>
      </c>
      <c r="M37" s="18" t="s">
        <v>17</v>
      </c>
      <c r="N37" s="19" t="s">
        <v>19</v>
      </c>
      <c r="O37" s="3"/>
    </row>
    <row r="38" spans="1:15" x14ac:dyDescent="0.2">
      <c r="A38" s="3"/>
      <c r="B38" s="20">
        <v>4</v>
      </c>
      <c r="C38" s="21" t="s">
        <v>53</v>
      </c>
      <c r="D38" s="21" t="s">
        <v>17</v>
      </c>
      <c r="E38" s="21" t="s">
        <v>17</v>
      </c>
      <c r="F38" s="21" t="s">
        <v>17</v>
      </c>
      <c r="G38" s="21" t="s">
        <v>19</v>
      </c>
      <c r="H38" s="21" t="s">
        <v>19</v>
      </c>
      <c r="I38" s="21" t="s">
        <v>53</v>
      </c>
      <c r="J38" s="21" t="s">
        <v>19</v>
      </c>
      <c r="K38" s="21" t="s">
        <v>19</v>
      </c>
      <c r="L38" s="21" t="s">
        <v>17</v>
      </c>
      <c r="M38" s="21" t="s">
        <v>43</v>
      </c>
      <c r="N38" s="22" t="s">
        <v>17</v>
      </c>
      <c r="O38" s="3"/>
    </row>
    <row r="39" spans="1:15" x14ac:dyDescent="0.2">
      <c r="A39" s="3"/>
      <c r="B39" s="17">
        <v>5</v>
      </c>
      <c r="C39" s="18" t="s">
        <v>17</v>
      </c>
      <c r="D39" s="18" t="s">
        <v>17</v>
      </c>
      <c r="E39" s="18" t="s">
        <v>19</v>
      </c>
      <c r="F39" s="18" t="s">
        <v>17</v>
      </c>
      <c r="G39" s="18" t="s">
        <v>17</v>
      </c>
      <c r="H39" s="18" t="s">
        <v>43</v>
      </c>
      <c r="I39" s="18" t="s">
        <v>19</v>
      </c>
      <c r="J39" s="18" t="s">
        <v>19</v>
      </c>
      <c r="K39" s="18" t="s">
        <v>53</v>
      </c>
      <c r="L39" s="18" t="s">
        <v>53</v>
      </c>
      <c r="M39" s="18" t="s">
        <v>53</v>
      </c>
      <c r="N39" s="19" t="s">
        <v>17</v>
      </c>
      <c r="O39" s="3"/>
    </row>
    <row r="40" spans="1:15" x14ac:dyDescent="0.2">
      <c r="A40" s="3"/>
      <c r="B40" s="20">
        <v>6</v>
      </c>
      <c r="C40" s="21" t="s">
        <v>19</v>
      </c>
      <c r="D40" s="21" t="s">
        <v>43</v>
      </c>
      <c r="E40" s="21" t="s">
        <v>19</v>
      </c>
      <c r="F40" s="21" t="s">
        <v>284</v>
      </c>
      <c r="G40" s="21" t="s">
        <v>284</v>
      </c>
      <c r="H40" s="21" t="s">
        <v>53</v>
      </c>
      <c r="I40" s="21" t="s">
        <v>43</v>
      </c>
      <c r="J40" s="21" t="s">
        <v>53</v>
      </c>
      <c r="K40" s="21" t="s">
        <v>17</v>
      </c>
      <c r="L40" s="21" t="s">
        <v>43</v>
      </c>
      <c r="M40" s="21" t="s">
        <v>19</v>
      </c>
      <c r="N40" s="22" t="s">
        <v>43</v>
      </c>
      <c r="O40" s="3"/>
    </row>
    <row r="41" spans="1:15" x14ac:dyDescent="0.2">
      <c r="A41" s="3"/>
      <c r="B41" s="17">
        <v>7</v>
      </c>
      <c r="C41" s="18" t="s">
        <v>43</v>
      </c>
      <c r="D41" s="18" t="s">
        <v>284</v>
      </c>
      <c r="E41" s="18" t="s">
        <v>43</v>
      </c>
      <c r="F41" s="18" t="s">
        <v>6</v>
      </c>
      <c r="G41" s="18" t="s">
        <v>17</v>
      </c>
      <c r="H41" s="18" t="s">
        <v>284</v>
      </c>
      <c r="I41" s="18" t="s">
        <v>17</v>
      </c>
      <c r="J41" s="18" t="s">
        <v>284</v>
      </c>
      <c r="K41" s="18" t="s">
        <v>6</v>
      </c>
      <c r="L41" s="18" t="s">
        <v>284</v>
      </c>
      <c r="M41" s="18" t="s">
        <v>284</v>
      </c>
      <c r="N41" s="19" t="s">
        <v>53</v>
      </c>
      <c r="O41" s="3"/>
    </row>
    <row r="42" spans="1:15" x14ac:dyDescent="0.2">
      <c r="A42" s="3"/>
      <c r="B42" s="20">
        <v>8</v>
      </c>
      <c r="C42" s="21" t="s">
        <v>6</v>
      </c>
      <c r="D42" s="21" t="s">
        <v>6</v>
      </c>
      <c r="E42" s="21" t="s">
        <v>284</v>
      </c>
      <c r="F42" s="21" t="s">
        <v>43</v>
      </c>
      <c r="G42" s="21" t="s">
        <v>53</v>
      </c>
      <c r="H42" s="21" t="s">
        <v>17</v>
      </c>
      <c r="I42" s="21" t="s">
        <v>6</v>
      </c>
      <c r="J42" s="21" t="s">
        <v>6</v>
      </c>
      <c r="K42" s="21" t="s">
        <v>284</v>
      </c>
      <c r="L42" s="21" t="s">
        <v>17</v>
      </c>
      <c r="M42" s="21" t="s">
        <v>6</v>
      </c>
      <c r="N42" s="22" t="s">
        <v>284</v>
      </c>
      <c r="O42" s="3"/>
    </row>
    <row r="43" spans="1:15" x14ac:dyDescent="0.2">
      <c r="A43" s="3"/>
      <c r="B43" s="17">
        <v>9</v>
      </c>
      <c r="C43" s="18" t="s">
        <v>284</v>
      </c>
      <c r="D43" s="18" t="s">
        <v>53</v>
      </c>
      <c r="E43" s="18" t="s">
        <v>6</v>
      </c>
      <c r="F43" s="18" t="s">
        <v>53</v>
      </c>
      <c r="G43" s="18" t="s">
        <v>6</v>
      </c>
      <c r="H43" s="18" t="s">
        <v>6</v>
      </c>
      <c r="I43" s="18" t="s">
        <v>17</v>
      </c>
      <c r="J43" s="18" t="s">
        <v>43</v>
      </c>
      <c r="K43" s="18" t="s">
        <v>17</v>
      </c>
      <c r="L43" s="18" t="s">
        <v>6</v>
      </c>
      <c r="M43" s="18" t="s">
        <v>17</v>
      </c>
      <c r="N43" s="19" t="s">
        <v>6</v>
      </c>
      <c r="O43" s="3"/>
    </row>
    <row r="44" spans="1:15" x14ac:dyDescent="0.2">
      <c r="A44" s="3"/>
      <c r="B44" s="20">
        <v>10</v>
      </c>
      <c r="C44" s="21" t="s">
        <v>17</v>
      </c>
      <c r="D44" s="21" t="s">
        <v>17</v>
      </c>
      <c r="E44" s="21" t="s">
        <v>17</v>
      </c>
      <c r="F44" s="21" t="s">
        <v>17</v>
      </c>
      <c r="G44" s="21" t="s">
        <v>53</v>
      </c>
      <c r="H44" s="21" t="s">
        <v>19</v>
      </c>
      <c r="I44" s="21" t="s">
        <v>284</v>
      </c>
      <c r="J44" s="21" t="s">
        <v>17</v>
      </c>
      <c r="K44" s="21" t="s">
        <v>17</v>
      </c>
      <c r="L44" s="21" t="s">
        <v>19</v>
      </c>
      <c r="M44" s="21" t="s">
        <v>19</v>
      </c>
      <c r="N44" s="22" t="s">
        <v>19</v>
      </c>
      <c r="O44" s="3"/>
    </row>
    <row r="45" spans="1:15" x14ac:dyDescent="0.2">
      <c r="A45" s="3"/>
      <c r="B45" s="17">
        <v>11</v>
      </c>
      <c r="C45" s="18" t="s">
        <v>19</v>
      </c>
      <c r="D45" s="18" t="s">
        <v>19</v>
      </c>
      <c r="E45" s="18" t="s">
        <v>53</v>
      </c>
      <c r="F45" s="18" t="s">
        <v>19</v>
      </c>
      <c r="G45" s="18" t="s">
        <v>19</v>
      </c>
      <c r="H45" s="18" t="s">
        <v>53</v>
      </c>
      <c r="I45" s="18" t="s">
        <v>19</v>
      </c>
      <c r="J45" s="18" t="s">
        <v>17</v>
      </c>
      <c r="K45" s="18" t="s">
        <v>19</v>
      </c>
      <c r="L45" s="18" t="s">
        <v>17</v>
      </c>
      <c r="M45" s="18" t="s">
        <v>19</v>
      </c>
      <c r="N45" s="19" t="s">
        <v>17</v>
      </c>
      <c r="O45" s="3"/>
    </row>
    <row r="46" spans="1:15" x14ac:dyDescent="0.2">
      <c r="A46" s="3"/>
      <c r="B46" s="20">
        <v>12</v>
      </c>
      <c r="C46" s="21" t="s">
        <v>17</v>
      </c>
      <c r="D46" s="21" t="s">
        <v>17</v>
      </c>
      <c r="E46" s="21" t="s">
        <v>17</v>
      </c>
      <c r="F46" s="21" t="s">
        <v>19</v>
      </c>
      <c r="G46" s="21" t="s">
        <v>17</v>
      </c>
      <c r="H46" s="21" t="s">
        <v>17</v>
      </c>
      <c r="I46" s="21" t="s">
        <v>17</v>
      </c>
      <c r="J46" s="21" t="s">
        <v>19</v>
      </c>
      <c r="K46" s="21" t="s">
        <v>43</v>
      </c>
      <c r="L46" s="21" t="s">
        <v>284</v>
      </c>
      <c r="M46" s="21" t="s">
        <v>53</v>
      </c>
      <c r="N46" s="22" t="s">
        <v>53</v>
      </c>
      <c r="O46" s="3"/>
    </row>
    <row r="47" spans="1:15" x14ac:dyDescent="0.2">
      <c r="A47" s="3"/>
      <c r="B47" s="17">
        <v>13</v>
      </c>
      <c r="C47" s="18" t="s">
        <v>53</v>
      </c>
      <c r="D47" s="18" t="s">
        <v>53</v>
      </c>
      <c r="E47" s="18" t="s">
        <v>17</v>
      </c>
      <c r="F47" s="18" t="s">
        <v>43</v>
      </c>
      <c r="G47" s="18" t="s">
        <v>17</v>
      </c>
      <c r="H47" s="18" t="s">
        <v>19</v>
      </c>
      <c r="I47" s="18" t="s">
        <v>43</v>
      </c>
      <c r="J47" s="18" t="s">
        <v>19</v>
      </c>
      <c r="K47" s="18" t="s">
        <v>53</v>
      </c>
      <c r="L47" s="18" t="s">
        <v>19</v>
      </c>
      <c r="M47" s="18" t="s">
        <v>284</v>
      </c>
      <c r="N47" s="19" t="s">
        <v>19</v>
      </c>
      <c r="O47" s="3"/>
    </row>
    <row r="48" spans="1:15" x14ac:dyDescent="0.2">
      <c r="A48" s="3"/>
      <c r="B48" s="4">
        <v>14</v>
      </c>
      <c r="C48" s="5" t="s">
        <v>17</v>
      </c>
      <c r="D48" s="5" t="s">
        <v>43</v>
      </c>
      <c r="E48" s="5" t="s">
        <v>284</v>
      </c>
      <c r="F48" s="5" t="s">
        <v>53</v>
      </c>
      <c r="G48" s="5" t="s">
        <v>284</v>
      </c>
      <c r="H48" s="5" t="s">
        <v>19</v>
      </c>
      <c r="I48" s="5" t="s">
        <v>6</v>
      </c>
      <c r="J48" s="5" t="s">
        <v>53</v>
      </c>
      <c r="K48" s="5" t="s">
        <v>17</v>
      </c>
      <c r="L48" s="5" t="s">
        <v>53</v>
      </c>
      <c r="M48" s="5" t="s">
        <v>6</v>
      </c>
      <c r="N48" s="6" t="s">
        <v>17</v>
      </c>
      <c r="O48" s="3"/>
    </row>
    <row r="49" spans="1:1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/>
      <c r="B50" s="14" t="s">
        <v>572</v>
      </c>
      <c r="C50" s="15" t="s">
        <v>282</v>
      </c>
      <c r="D50" s="15" t="s">
        <v>277</v>
      </c>
      <c r="E50" s="15" t="s">
        <v>274</v>
      </c>
      <c r="F50" s="15" t="s">
        <v>278</v>
      </c>
      <c r="G50" s="15" t="s">
        <v>286</v>
      </c>
      <c r="H50" s="15" t="s">
        <v>272</v>
      </c>
      <c r="I50" s="15" t="s">
        <v>276</v>
      </c>
      <c r="J50" s="15" t="s">
        <v>281</v>
      </c>
      <c r="K50" s="15" t="s">
        <v>275</v>
      </c>
      <c r="L50" s="15" t="s">
        <v>279</v>
      </c>
      <c r="M50" s="15" t="s">
        <v>273</v>
      </c>
      <c r="N50" s="16" t="s">
        <v>280</v>
      </c>
      <c r="O50" s="3"/>
    </row>
    <row r="51" spans="1:15" x14ac:dyDescent="0.2">
      <c r="A51" s="3"/>
      <c r="B51" s="17">
        <v>1</v>
      </c>
      <c r="C51" s="18" t="s">
        <v>17</v>
      </c>
      <c r="D51" s="18" t="s">
        <v>19</v>
      </c>
      <c r="E51" s="18" t="s">
        <v>19</v>
      </c>
      <c r="F51" s="18" t="s">
        <v>19</v>
      </c>
      <c r="G51" s="18" t="s">
        <v>17</v>
      </c>
      <c r="H51" s="18" t="s">
        <v>19</v>
      </c>
      <c r="I51" s="18" t="s">
        <v>19</v>
      </c>
      <c r="J51" s="18" t="s">
        <v>17</v>
      </c>
      <c r="K51" s="18" t="s">
        <v>19</v>
      </c>
      <c r="L51" s="18" t="s">
        <v>17</v>
      </c>
      <c r="M51" s="18" t="s">
        <v>17</v>
      </c>
      <c r="N51" s="19" t="s">
        <v>17</v>
      </c>
      <c r="O51" s="3"/>
    </row>
    <row r="52" spans="1:15" x14ac:dyDescent="0.2">
      <c r="A52" s="3"/>
      <c r="B52" s="20">
        <v>2</v>
      </c>
      <c r="C52" s="21" t="s">
        <v>19</v>
      </c>
      <c r="D52" s="21" t="s">
        <v>17</v>
      </c>
      <c r="E52" s="21" t="s">
        <v>43</v>
      </c>
      <c r="F52" s="21" t="s">
        <v>17</v>
      </c>
      <c r="G52" s="21" t="s">
        <v>19</v>
      </c>
      <c r="H52" s="21" t="s">
        <v>19</v>
      </c>
      <c r="I52" s="21" t="s">
        <v>19</v>
      </c>
      <c r="J52" s="21" t="s">
        <v>17</v>
      </c>
      <c r="K52" s="21" t="s">
        <v>19</v>
      </c>
      <c r="L52" s="21" t="s">
        <v>17</v>
      </c>
      <c r="M52" s="21" t="s">
        <v>19</v>
      </c>
      <c r="N52" s="22" t="s">
        <v>17</v>
      </c>
      <c r="O52" s="3"/>
    </row>
    <row r="53" spans="1:15" x14ac:dyDescent="0.2">
      <c r="A53" s="3"/>
      <c r="B53" s="17">
        <v>3</v>
      </c>
      <c r="C53" s="18" t="s">
        <v>53</v>
      </c>
      <c r="D53" s="18" t="s">
        <v>19</v>
      </c>
      <c r="E53" s="18" t="s">
        <v>17</v>
      </c>
      <c r="F53" s="18" t="s">
        <v>53</v>
      </c>
      <c r="G53" s="18" t="s">
        <v>19</v>
      </c>
      <c r="H53" s="18" t="s">
        <v>19</v>
      </c>
      <c r="I53" s="18" t="s">
        <v>43</v>
      </c>
      <c r="J53" s="18" t="s">
        <v>43</v>
      </c>
      <c r="K53" s="18" t="s">
        <v>17</v>
      </c>
      <c r="L53" s="18" t="s">
        <v>53</v>
      </c>
      <c r="M53" s="18" t="s">
        <v>53</v>
      </c>
      <c r="N53" s="19" t="s">
        <v>17</v>
      </c>
      <c r="O53" s="3"/>
    </row>
    <row r="54" spans="1:15" x14ac:dyDescent="0.2">
      <c r="A54" s="3"/>
      <c r="B54" s="20">
        <v>4</v>
      </c>
      <c r="C54" s="21" t="s">
        <v>17</v>
      </c>
      <c r="D54" s="21" t="s">
        <v>17</v>
      </c>
      <c r="E54" s="21" t="s">
        <v>19</v>
      </c>
      <c r="F54" s="21" t="s">
        <v>17</v>
      </c>
      <c r="G54" s="21" t="s">
        <v>17</v>
      </c>
      <c r="H54" s="21" t="s">
        <v>17</v>
      </c>
      <c r="I54" s="21" t="s">
        <v>17</v>
      </c>
      <c r="J54" s="21" t="s">
        <v>19</v>
      </c>
      <c r="K54" s="21" t="s">
        <v>17</v>
      </c>
      <c r="L54" s="21" t="s">
        <v>17</v>
      </c>
      <c r="M54" s="21" t="s">
        <v>19</v>
      </c>
      <c r="N54" s="22" t="s">
        <v>19</v>
      </c>
      <c r="O54" s="3"/>
    </row>
    <row r="55" spans="1:15" x14ac:dyDescent="0.2">
      <c r="A55" s="3"/>
      <c r="B55" s="17">
        <v>5</v>
      </c>
      <c r="C55" s="18" t="s">
        <v>19</v>
      </c>
      <c r="D55" s="18" t="s">
        <v>17</v>
      </c>
      <c r="E55" s="18" t="s">
        <v>17</v>
      </c>
      <c r="F55" s="18" t="s">
        <v>17</v>
      </c>
      <c r="G55" s="18" t="s">
        <v>53</v>
      </c>
      <c r="H55" s="18" t="s">
        <v>17</v>
      </c>
      <c r="I55" s="18" t="s">
        <v>19</v>
      </c>
      <c r="J55" s="18" t="s">
        <v>19</v>
      </c>
      <c r="K55" s="18" t="s">
        <v>19</v>
      </c>
      <c r="L55" s="18" t="s">
        <v>19</v>
      </c>
      <c r="M55" s="18" t="s">
        <v>17</v>
      </c>
      <c r="N55" s="19" t="s">
        <v>19</v>
      </c>
      <c r="O55" s="3"/>
    </row>
    <row r="56" spans="1:15" x14ac:dyDescent="0.2">
      <c r="A56" s="3"/>
      <c r="B56" s="20">
        <v>6</v>
      </c>
      <c r="C56" s="21" t="s">
        <v>17</v>
      </c>
      <c r="D56" s="21" t="s">
        <v>19</v>
      </c>
      <c r="E56" s="21" t="s">
        <v>53</v>
      </c>
      <c r="F56" s="21" t="s">
        <v>19</v>
      </c>
      <c r="G56" s="21" t="s">
        <v>43</v>
      </c>
      <c r="H56" s="21" t="s">
        <v>17</v>
      </c>
      <c r="I56" s="21" t="s">
        <v>17</v>
      </c>
      <c r="J56" s="21" t="s">
        <v>19</v>
      </c>
      <c r="K56" s="21" t="s">
        <v>17</v>
      </c>
      <c r="L56" s="21" t="s">
        <v>43</v>
      </c>
      <c r="M56" s="21" t="s">
        <v>17</v>
      </c>
      <c r="N56" s="22" t="s">
        <v>19</v>
      </c>
      <c r="O56" s="3"/>
    </row>
    <row r="57" spans="1:15" x14ac:dyDescent="0.2">
      <c r="A57" s="3"/>
      <c r="B57" s="17">
        <v>7</v>
      </c>
      <c r="C57" s="18" t="s">
        <v>43</v>
      </c>
      <c r="D57" s="18" t="s">
        <v>53</v>
      </c>
      <c r="E57" s="18" t="s">
        <v>17</v>
      </c>
      <c r="F57" s="18" t="s">
        <v>19</v>
      </c>
      <c r="G57" s="18" t="s">
        <v>17</v>
      </c>
      <c r="H57" s="18" t="s">
        <v>17</v>
      </c>
      <c r="I57" s="18" t="s">
        <v>53</v>
      </c>
      <c r="J57" s="18" t="s">
        <v>17</v>
      </c>
      <c r="K57" s="18" t="s">
        <v>43</v>
      </c>
      <c r="L57" s="18" t="s">
        <v>19</v>
      </c>
      <c r="M57" s="18" t="s">
        <v>43</v>
      </c>
      <c r="N57" s="19" t="s">
        <v>53</v>
      </c>
      <c r="O57" s="3"/>
    </row>
    <row r="58" spans="1:15" x14ac:dyDescent="0.2">
      <c r="A58" s="3"/>
      <c r="B58" s="20">
        <v>8</v>
      </c>
      <c r="C58" s="21" t="s">
        <v>284</v>
      </c>
      <c r="D58" s="21" t="s">
        <v>19</v>
      </c>
      <c r="E58" s="21" t="s">
        <v>19</v>
      </c>
      <c r="F58" s="21" t="s">
        <v>43</v>
      </c>
      <c r="G58" s="21" t="s">
        <v>19</v>
      </c>
      <c r="H58" s="21" t="s">
        <v>53</v>
      </c>
      <c r="I58" s="21" t="s">
        <v>17</v>
      </c>
      <c r="J58" s="21" t="s">
        <v>53</v>
      </c>
      <c r="K58" s="21" t="s">
        <v>284</v>
      </c>
      <c r="L58" s="21" t="s">
        <v>17</v>
      </c>
      <c r="M58" s="21" t="s">
        <v>17</v>
      </c>
      <c r="N58" s="22" t="s">
        <v>43</v>
      </c>
      <c r="O58" s="3"/>
    </row>
    <row r="59" spans="1:15" x14ac:dyDescent="0.2">
      <c r="A59" s="3"/>
      <c r="B59" s="17">
        <v>9</v>
      </c>
      <c r="C59" s="18" t="s">
        <v>6</v>
      </c>
      <c r="D59" s="18" t="s">
        <v>17</v>
      </c>
      <c r="E59" s="18" t="s">
        <v>19</v>
      </c>
      <c r="F59" s="18" t="s">
        <v>17</v>
      </c>
      <c r="G59" s="18" t="s">
        <v>17</v>
      </c>
      <c r="H59" s="18" t="s">
        <v>43</v>
      </c>
      <c r="I59" s="18" t="s">
        <v>17</v>
      </c>
      <c r="J59" s="18" t="s">
        <v>284</v>
      </c>
      <c r="K59" s="18" t="s">
        <v>6</v>
      </c>
      <c r="L59" s="18" t="s">
        <v>17</v>
      </c>
      <c r="M59" s="18" t="s">
        <v>19</v>
      </c>
      <c r="N59" s="19" t="s">
        <v>19</v>
      </c>
      <c r="O59" s="3"/>
    </row>
    <row r="60" spans="1:15" x14ac:dyDescent="0.2">
      <c r="A60" s="3"/>
      <c r="B60" s="20">
        <v>10</v>
      </c>
      <c r="C60" s="21" t="s">
        <v>53</v>
      </c>
      <c r="D60" s="21" t="s">
        <v>284</v>
      </c>
      <c r="E60" s="21" t="s">
        <v>284</v>
      </c>
      <c r="F60" s="21" t="s">
        <v>19</v>
      </c>
      <c r="G60" s="21" t="s">
        <v>19</v>
      </c>
      <c r="H60" s="21" t="s">
        <v>19</v>
      </c>
      <c r="I60" s="21" t="s">
        <v>19</v>
      </c>
      <c r="J60" s="21" t="s">
        <v>19</v>
      </c>
      <c r="K60" s="21" t="s">
        <v>53</v>
      </c>
      <c r="L60" s="21" t="s">
        <v>53</v>
      </c>
      <c r="M60" s="21" t="s">
        <v>17</v>
      </c>
      <c r="N60" s="22" t="s">
        <v>17</v>
      </c>
      <c r="O60" s="3"/>
    </row>
    <row r="61" spans="1:15" x14ac:dyDescent="0.2">
      <c r="A61" s="3"/>
      <c r="B61" s="17">
        <v>11</v>
      </c>
      <c r="C61" s="18" t="s">
        <v>43</v>
      </c>
      <c r="D61" s="18" t="s">
        <v>6</v>
      </c>
      <c r="E61" s="18" t="s">
        <v>53</v>
      </c>
      <c r="F61" s="18" t="s">
        <v>17</v>
      </c>
      <c r="G61" s="18" t="s">
        <v>53</v>
      </c>
      <c r="H61" s="18" t="s">
        <v>284</v>
      </c>
      <c r="I61" s="18" t="s">
        <v>17</v>
      </c>
      <c r="J61" s="18" t="s">
        <v>17</v>
      </c>
      <c r="K61" s="18" t="s">
        <v>19</v>
      </c>
      <c r="L61" s="18" t="s">
        <v>43</v>
      </c>
      <c r="M61" s="18" t="s">
        <v>284</v>
      </c>
      <c r="N61" s="19" t="s">
        <v>43</v>
      </c>
      <c r="O61" s="3"/>
    </row>
    <row r="62" spans="1:15" x14ac:dyDescent="0.2">
      <c r="A62" s="3"/>
      <c r="B62" s="20">
        <v>12</v>
      </c>
      <c r="C62" s="21" t="s">
        <v>17</v>
      </c>
      <c r="D62" s="21" t="s">
        <v>19</v>
      </c>
      <c r="E62" s="21" t="s">
        <v>6</v>
      </c>
      <c r="F62" s="21" t="s">
        <v>19</v>
      </c>
      <c r="G62" s="21" t="s">
        <v>6</v>
      </c>
      <c r="H62" s="21" t="s">
        <v>19</v>
      </c>
      <c r="I62" s="21" t="s">
        <v>6</v>
      </c>
      <c r="J62" s="21" t="s">
        <v>17</v>
      </c>
      <c r="K62" s="21" t="s">
        <v>17</v>
      </c>
      <c r="L62" s="21" t="s">
        <v>19</v>
      </c>
      <c r="M62" s="21" t="s">
        <v>6</v>
      </c>
      <c r="N62" s="22" t="s">
        <v>53</v>
      </c>
      <c r="O62" s="3"/>
    </row>
    <row r="63" spans="1:15" x14ac:dyDescent="0.2">
      <c r="A63" s="3"/>
      <c r="B63" s="17">
        <v>13</v>
      </c>
      <c r="C63" s="18" t="s">
        <v>17</v>
      </c>
      <c r="D63" s="18" t="s">
        <v>19</v>
      </c>
      <c r="E63" s="18" t="s">
        <v>17</v>
      </c>
      <c r="F63" s="18" t="s">
        <v>19</v>
      </c>
      <c r="G63" s="18" t="s">
        <v>284</v>
      </c>
      <c r="H63" s="18" t="s">
        <v>17</v>
      </c>
      <c r="I63" s="18" t="s">
        <v>284</v>
      </c>
      <c r="J63" s="18" t="s">
        <v>284</v>
      </c>
      <c r="K63" s="18" t="s">
        <v>19</v>
      </c>
      <c r="L63" s="18" t="s">
        <v>284</v>
      </c>
      <c r="M63" s="18" t="s">
        <v>53</v>
      </c>
      <c r="N63" s="19" t="s">
        <v>284</v>
      </c>
      <c r="O63" s="3"/>
    </row>
    <row r="64" spans="1:15" x14ac:dyDescent="0.2">
      <c r="A64" s="3"/>
      <c r="B64" s="4">
        <v>14</v>
      </c>
      <c r="C64" s="5" t="s">
        <v>19</v>
      </c>
      <c r="D64" s="5" t="s">
        <v>43</v>
      </c>
      <c r="E64" s="5" t="s">
        <v>43</v>
      </c>
      <c r="F64" s="5" t="s">
        <v>43</v>
      </c>
      <c r="G64" s="5" t="s">
        <v>43</v>
      </c>
      <c r="H64" s="5" t="s">
        <v>6</v>
      </c>
      <c r="I64" s="5" t="s">
        <v>43</v>
      </c>
      <c r="J64" s="5" t="s">
        <v>6</v>
      </c>
      <c r="K64" s="5" t="s">
        <v>19</v>
      </c>
      <c r="L64" s="5" t="s">
        <v>6</v>
      </c>
      <c r="M64" s="5" t="s">
        <v>17</v>
      </c>
      <c r="N64" s="6" t="s">
        <v>6</v>
      </c>
      <c r="O64" s="3"/>
    </row>
    <row r="65" spans="1:1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x14ac:dyDescent="0.2">
      <c r="B66">
        <v>2024</v>
      </c>
      <c r="C66" t="s">
        <v>274</v>
      </c>
      <c r="D66" t="s">
        <v>280</v>
      </c>
      <c r="E66" t="s">
        <v>275</v>
      </c>
      <c r="F66" t="s">
        <v>276</v>
      </c>
      <c r="G66" t="s">
        <v>277</v>
      </c>
      <c r="H66" t="s">
        <v>281</v>
      </c>
      <c r="I66" t="s">
        <v>278</v>
      </c>
      <c r="J66" t="s">
        <v>282</v>
      </c>
      <c r="K66" t="s">
        <v>286</v>
      </c>
      <c r="L66" t="s">
        <v>273</v>
      </c>
      <c r="M66" t="s">
        <v>272</v>
      </c>
      <c r="N66" t="s">
        <v>279</v>
      </c>
    </row>
    <row r="67" spans="1:15" x14ac:dyDescent="0.2">
      <c r="B67">
        <v>1</v>
      </c>
      <c r="C67" t="s">
        <v>19</v>
      </c>
      <c r="D67" t="s">
        <v>19</v>
      </c>
      <c r="E67" t="s">
        <v>19</v>
      </c>
      <c r="F67" t="s">
        <v>17</v>
      </c>
      <c r="G67" t="s">
        <v>17</v>
      </c>
      <c r="H67" t="s">
        <v>17</v>
      </c>
      <c r="I67" t="s">
        <v>17</v>
      </c>
      <c r="J67" t="s">
        <v>17</v>
      </c>
      <c r="K67" t="s">
        <v>17</v>
      </c>
      <c r="L67" t="s">
        <v>19</v>
      </c>
      <c r="M67" t="s">
        <v>19</v>
      </c>
      <c r="N67" t="s">
        <v>53</v>
      </c>
    </row>
    <row r="68" spans="1:15" x14ac:dyDescent="0.2">
      <c r="B68">
        <v>2</v>
      </c>
      <c r="C68" t="s">
        <v>17</v>
      </c>
      <c r="D68" t="s">
        <v>17</v>
      </c>
      <c r="E68" t="s">
        <v>19</v>
      </c>
      <c r="F68" t="s">
        <v>19</v>
      </c>
      <c r="G68" t="s">
        <v>17</v>
      </c>
      <c r="H68" t="s">
        <v>17</v>
      </c>
      <c r="I68" t="s">
        <v>43</v>
      </c>
      <c r="J68" t="s">
        <v>19</v>
      </c>
      <c r="K68" t="s">
        <v>19</v>
      </c>
      <c r="L68" t="s">
        <v>19</v>
      </c>
      <c r="M68" t="s">
        <v>17</v>
      </c>
      <c r="N68" t="s">
        <v>17</v>
      </c>
    </row>
    <row r="69" spans="1:15" x14ac:dyDescent="0.2">
      <c r="B69">
        <v>3</v>
      </c>
      <c r="C69" t="s">
        <v>19</v>
      </c>
      <c r="D69" t="s">
        <v>19</v>
      </c>
      <c r="E69" t="s">
        <v>19</v>
      </c>
      <c r="F69" t="s">
        <v>53</v>
      </c>
      <c r="G69" t="s">
        <v>17</v>
      </c>
      <c r="H69" t="s">
        <v>53</v>
      </c>
      <c r="I69" t="s">
        <v>43</v>
      </c>
      <c r="J69" t="s">
        <v>43</v>
      </c>
      <c r="K69" t="s">
        <v>17</v>
      </c>
      <c r="L69" t="s">
        <v>17</v>
      </c>
      <c r="M69" t="s">
        <v>17</v>
      </c>
      <c r="N69" t="s">
        <v>284</v>
      </c>
    </row>
    <row r="70" spans="1:15" x14ac:dyDescent="0.2">
      <c r="B70">
        <v>4</v>
      </c>
      <c r="C70" t="s">
        <v>43</v>
      </c>
      <c r="D70" t="s">
        <v>17</v>
      </c>
      <c r="E70" t="s">
        <v>17</v>
      </c>
      <c r="F70" t="s">
        <v>19</v>
      </c>
      <c r="G70" t="s">
        <v>19</v>
      </c>
      <c r="H70" t="s">
        <v>17</v>
      </c>
      <c r="I70" t="s">
        <v>19</v>
      </c>
      <c r="J70" t="s">
        <v>19</v>
      </c>
      <c r="K70" t="s">
        <v>17</v>
      </c>
      <c r="L70" t="s">
        <v>17</v>
      </c>
      <c r="M70" t="s">
        <v>53</v>
      </c>
      <c r="N70" t="s">
        <v>43</v>
      </c>
    </row>
    <row r="71" spans="1:15" x14ac:dyDescent="0.2">
      <c r="B71">
        <v>5</v>
      </c>
      <c r="C71" t="s">
        <v>17</v>
      </c>
      <c r="D71" t="s">
        <v>43</v>
      </c>
      <c r="E71" t="s">
        <v>17</v>
      </c>
      <c r="F71" t="s">
        <v>19</v>
      </c>
      <c r="G71" t="s">
        <v>17</v>
      </c>
      <c r="H71" t="s">
        <v>19</v>
      </c>
      <c r="I71" t="s">
        <v>53</v>
      </c>
      <c r="J71" t="s">
        <v>53</v>
      </c>
      <c r="K71" t="s">
        <v>19</v>
      </c>
      <c r="L71" t="s">
        <v>53</v>
      </c>
      <c r="M71" t="s">
        <v>19</v>
      </c>
      <c r="N71" t="s">
        <v>17</v>
      </c>
    </row>
    <row r="72" spans="1:15" x14ac:dyDescent="0.2">
      <c r="B72">
        <v>6</v>
      </c>
      <c r="C72" t="s">
        <v>17</v>
      </c>
      <c r="D72" t="s">
        <v>53</v>
      </c>
      <c r="E72" t="s">
        <v>17</v>
      </c>
      <c r="F72" t="s">
        <v>17</v>
      </c>
      <c r="G72" t="s">
        <v>284</v>
      </c>
      <c r="H72" t="s">
        <v>43</v>
      </c>
      <c r="I72" t="s">
        <v>19</v>
      </c>
      <c r="J72" t="s">
        <v>284</v>
      </c>
      <c r="K72" t="s">
        <v>53</v>
      </c>
      <c r="L72" t="s">
        <v>17</v>
      </c>
      <c r="M72" t="s">
        <v>19</v>
      </c>
      <c r="N72" t="s">
        <v>19</v>
      </c>
    </row>
    <row r="73" spans="1:15" x14ac:dyDescent="0.2">
      <c r="B73">
        <v>7</v>
      </c>
      <c r="C73" t="s">
        <v>53</v>
      </c>
      <c r="D73" t="s">
        <v>17</v>
      </c>
      <c r="E73" t="s">
        <v>6</v>
      </c>
      <c r="F73" t="s">
        <v>43</v>
      </c>
      <c r="G73" t="s">
        <v>6</v>
      </c>
      <c r="H73" t="s">
        <v>19</v>
      </c>
      <c r="I73" t="s">
        <v>17</v>
      </c>
      <c r="J73" t="s">
        <v>17</v>
      </c>
      <c r="K73" t="s">
        <v>43</v>
      </c>
      <c r="L73" t="s">
        <v>17</v>
      </c>
      <c r="M73" t="s">
        <v>19</v>
      </c>
      <c r="N73" t="s">
        <v>17</v>
      </c>
    </row>
    <row r="74" spans="1:15" x14ac:dyDescent="0.2">
      <c r="B74">
        <v>8</v>
      </c>
      <c r="C74" t="s">
        <v>17</v>
      </c>
      <c r="D74" t="s">
        <v>19</v>
      </c>
      <c r="E74" t="s">
        <v>284</v>
      </c>
      <c r="F74" t="s">
        <v>17</v>
      </c>
      <c r="G74" t="s">
        <v>53</v>
      </c>
      <c r="H74" t="s">
        <v>17</v>
      </c>
      <c r="I74" t="s">
        <v>284</v>
      </c>
      <c r="J74" t="s">
        <v>19</v>
      </c>
      <c r="K74" t="s">
        <v>19</v>
      </c>
      <c r="L74" t="s">
        <v>43</v>
      </c>
      <c r="M74" t="s">
        <v>19</v>
      </c>
      <c r="N74" t="s">
        <v>17</v>
      </c>
    </row>
    <row r="75" spans="1:15" x14ac:dyDescent="0.2">
      <c r="B75">
        <v>9</v>
      </c>
      <c r="C75" t="s">
        <v>19</v>
      </c>
      <c r="D75" t="s">
        <v>284</v>
      </c>
      <c r="E75" t="s">
        <v>19</v>
      </c>
      <c r="F75" t="s">
        <v>19</v>
      </c>
      <c r="G75" t="s">
        <v>17</v>
      </c>
      <c r="H75" t="s">
        <v>19</v>
      </c>
      <c r="I75" t="s">
        <v>6</v>
      </c>
      <c r="J75" t="s">
        <v>53</v>
      </c>
      <c r="K75" t="s">
        <v>17</v>
      </c>
      <c r="L75" t="s">
        <v>284</v>
      </c>
      <c r="M75" t="s">
        <v>284</v>
      </c>
      <c r="N75" t="s">
        <v>43</v>
      </c>
    </row>
    <row r="76" spans="1:15" x14ac:dyDescent="0.2">
      <c r="B76">
        <v>10</v>
      </c>
      <c r="C76" t="s">
        <v>53</v>
      </c>
      <c r="D76" t="s">
        <v>17</v>
      </c>
      <c r="E76" t="s">
        <v>17</v>
      </c>
      <c r="F76" t="s">
        <v>17</v>
      </c>
      <c r="G76" t="s">
        <v>17</v>
      </c>
      <c r="H76" t="s">
        <v>284</v>
      </c>
      <c r="I76" t="s">
        <v>53</v>
      </c>
      <c r="J76" t="s">
        <v>17</v>
      </c>
      <c r="K76" t="s">
        <v>19</v>
      </c>
      <c r="L76" t="s">
        <v>19</v>
      </c>
      <c r="M76" t="s">
        <v>17</v>
      </c>
      <c r="N76" t="s">
        <v>53</v>
      </c>
    </row>
    <row r="77" spans="1:15" x14ac:dyDescent="0.2">
      <c r="B77">
        <v>11</v>
      </c>
      <c r="C77" t="s">
        <v>284</v>
      </c>
      <c r="D77" t="s">
        <v>19</v>
      </c>
      <c r="E77" t="s">
        <v>19</v>
      </c>
      <c r="F77" t="s">
        <v>43</v>
      </c>
      <c r="G77" t="s">
        <v>53</v>
      </c>
      <c r="H77" t="s">
        <v>17</v>
      </c>
      <c r="I77" t="s">
        <v>284</v>
      </c>
      <c r="J77" t="s">
        <v>284</v>
      </c>
      <c r="K77" t="s">
        <v>284</v>
      </c>
      <c r="L77" t="s">
        <v>17</v>
      </c>
      <c r="M77" t="s">
        <v>19</v>
      </c>
      <c r="N77" t="s">
        <v>19</v>
      </c>
    </row>
    <row r="78" spans="1:15" x14ac:dyDescent="0.2">
      <c r="B78">
        <v>12</v>
      </c>
      <c r="C78" t="s">
        <v>43</v>
      </c>
      <c r="D78" t="s">
        <v>17</v>
      </c>
      <c r="E78" t="s">
        <v>19</v>
      </c>
      <c r="F78" t="s">
        <v>17</v>
      </c>
      <c r="G78" t="s">
        <v>17</v>
      </c>
      <c r="H78" t="s">
        <v>284</v>
      </c>
      <c r="I78" t="s">
        <v>19</v>
      </c>
      <c r="J78" t="s">
        <v>6</v>
      </c>
      <c r="K78" t="s">
        <v>6</v>
      </c>
      <c r="L78" t="s">
        <v>6</v>
      </c>
      <c r="M78" t="s">
        <v>6</v>
      </c>
      <c r="N78" t="s">
        <v>284</v>
      </c>
    </row>
    <row r="79" spans="1:15" x14ac:dyDescent="0.2">
      <c r="B79">
        <v>13</v>
      </c>
      <c r="C79" t="s">
        <v>6</v>
      </c>
      <c r="D79" t="s">
        <v>19</v>
      </c>
      <c r="E79" t="s">
        <v>284</v>
      </c>
      <c r="F79" t="s">
        <v>17</v>
      </c>
      <c r="G79" t="s">
        <v>17</v>
      </c>
      <c r="H79" t="s">
        <v>43</v>
      </c>
      <c r="I79" t="s">
        <v>6</v>
      </c>
      <c r="J79" t="s">
        <v>43</v>
      </c>
      <c r="K79" t="s">
        <v>6</v>
      </c>
      <c r="L79" t="s">
        <v>6</v>
      </c>
      <c r="M79" t="s">
        <v>19</v>
      </c>
      <c r="N79" t="s">
        <v>284</v>
      </c>
    </row>
    <row r="80" spans="1:15" x14ac:dyDescent="0.2">
      <c r="B80">
        <v>14</v>
      </c>
      <c r="C80" t="s">
        <v>17</v>
      </c>
      <c r="D80" t="s">
        <v>6</v>
      </c>
      <c r="E80" t="s">
        <v>17</v>
      </c>
      <c r="F80" t="s">
        <v>53</v>
      </c>
      <c r="G80" t="s">
        <v>6</v>
      </c>
      <c r="H80" t="s">
        <v>43</v>
      </c>
      <c r="I80" t="s">
        <v>19</v>
      </c>
      <c r="J80" t="s">
        <v>17</v>
      </c>
      <c r="K80" t="s">
        <v>19</v>
      </c>
      <c r="L80" t="s">
        <v>17</v>
      </c>
      <c r="M80" t="s">
        <v>6</v>
      </c>
      <c r="N80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869DE-B8A2-466A-BB2A-E1B3B76185F9}">
  <dimension ref="A1:N211"/>
  <sheetViews>
    <sheetView workbookViewId="0">
      <selection activeCell="H13" sqref="H13"/>
    </sheetView>
  </sheetViews>
  <sheetFormatPr baseColWidth="10" defaultColWidth="8.83203125" defaultRowHeight="15" x14ac:dyDescent="0.2"/>
  <cols>
    <col min="1" max="1" width="36.33203125" bestFit="1" customWidth="1"/>
    <col min="2" max="2" width="12.5" customWidth="1"/>
    <col min="3" max="3" width="11.6640625" customWidth="1"/>
    <col min="4" max="4" width="11.83203125" customWidth="1"/>
    <col min="5" max="5" width="13" customWidth="1"/>
    <col min="6" max="6" width="12.1640625" customWidth="1"/>
    <col min="7" max="7" width="14.5" customWidth="1"/>
    <col min="8" max="8" width="22.1640625" bestFit="1" customWidth="1"/>
    <col min="9" max="9" width="13.6640625" customWidth="1"/>
    <col min="10" max="10" width="15" customWidth="1"/>
    <col min="11" max="11" width="11.1640625" bestFit="1" customWidth="1"/>
    <col min="12" max="14" width="22.1640625" bestFit="1" customWidth="1"/>
    <col min="15" max="15" width="15.5" bestFit="1" customWidth="1"/>
  </cols>
  <sheetData>
    <row r="1" spans="1:14" x14ac:dyDescent="0.2">
      <c r="A1" t="s">
        <v>53</v>
      </c>
      <c r="B1" t="s">
        <v>476</v>
      </c>
      <c r="C1" t="s">
        <v>477</v>
      </c>
      <c r="D1" t="s">
        <v>478</v>
      </c>
      <c r="E1" t="s">
        <v>502</v>
      </c>
      <c r="F1" t="s">
        <v>479</v>
      </c>
      <c r="G1" t="s">
        <v>525</v>
      </c>
      <c r="H1" t="s">
        <v>480</v>
      </c>
      <c r="I1" t="s">
        <v>481</v>
      </c>
      <c r="J1" t="s">
        <v>313</v>
      </c>
      <c r="K1" t="s">
        <v>314</v>
      </c>
      <c r="L1" t="s">
        <v>503</v>
      </c>
      <c r="M1" t="s">
        <v>519</v>
      </c>
      <c r="N1" t="s">
        <v>475</v>
      </c>
    </row>
    <row r="2" spans="1:14" x14ac:dyDescent="0.2">
      <c r="A2" t="s">
        <v>288</v>
      </c>
      <c r="B2">
        <v>3619</v>
      </c>
      <c r="C2">
        <v>30</v>
      </c>
      <c r="D2">
        <v>9</v>
      </c>
      <c r="E2">
        <v>832</v>
      </c>
      <c r="F2">
        <v>4</v>
      </c>
      <c r="G2">
        <v>0</v>
      </c>
      <c r="H2">
        <v>0</v>
      </c>
      <c r="I2">
        <v>0</v>
      </c>
      <c r="J2">
        <v>1</v>
      </c>
      <c r="K2">
        <v>0</v>
      </c>
      <c r="L2">
        <v>4</v>
      </c>
      <c r="N2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383.96</v>
      </c>
    </row>
    <row r="3" spans="1:14" x14ac:dyDescent="0.2">
      <c r="A3" t="s">
        <v>289</v>
      </c>
      <c r="B3">
        <v>3777</v>
      </c>
      <c r="C3">
        <v>27</v>
      </c>
      <c r="D3">
        <v>11</v>
      </c>
      <c r="E3">
        <v>504</v>
      </c>
      <c r="F3">
        <v>10</v>
      </c>
      <c r="G3">
        <v>0</v>
      </c>
      <c r="H3">
        <v>0</v>
      </c>
      <c r="I3">
        <v>0</v>
      </c>
      <c r="J3">
        <v>0</v>
      </c>
      <c r="K3">
        <v>0</v>
      </c>
      <c r="L3">
        <v>3</v>
      </c>
      <c r="N3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365.48</v>
      </c>
    </row>
    <row r="4" spans="1:14" x14ac:dyDescent="0.2">
      <c r="A4" t="s">
        <v>290</v>
      </c>
      <c r="B4">
        <v>3475</v>
      </c>
      <c r="C4">
        <v>22</v>
      </c>
      <c r="D4">
        <v>9</v>
      </c>
      <c r="E4">
        <v>535</v>
      </c>
      <c r="F4">
        <v>14</v>
      </c>
      <c r="G4">
        <v>0</v>
      </c>
      <c r="H4">
        <v>0</v>
      </c>
      <c r="I4">
        <v>0</v>
      </c>
      <c r="J4">
        <v>0</v>
      </c>
      <c r="K4">
        <v>0</v>
      </c>
      <c r="L4">
        <v>3</v>
      </c>
      <c r="N4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364.5</v>
      </c>
    </row>
    <row r="5" spans="1:14" x14ac:dyDescent="0.2">
      <c r="A5" t="s">
        <v>291</v>
      </c>
      <c r="B5">
        <v>3726</v>
      </c>
      <c r="C5">
        <v>26</v>
      </c>
      <c r="D5">
        <v>11</v>
      </c>
      <c r="E5">
        <v>755</v>
      </c>
      <c r="F5">
        <v>6</v>
      </c>
      <c r="G5">
        <v>0</v>
      </c>
      <c r="H5">
        <v>0</v>
      </c>
      <c r="I5">
        <v>0</v>
      </c>
      <c r="J5">
        <v>0</v>
      </c>
      <c r="K5">
        <v>0</v>
      </c>
      <c r="L5">
        <v>3</v>
      </c>
      <c r="N5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360.53999999999996</v>
      </c>
    </row>
    <row r="6" spans="1:14" x14ac:dyDescent="0.2">
      <c r="A6" t="s">
        <v>292</v>
      </c>
      <c r="B6">
        <v>4223</v>
      </c>
      <c r="C6">
        <v>32</v>
      </c>
      <c r="D6">
        <v>12</v>
      </c>
      <c r="E6">
        <v>335</v>
      </c>
      <c r="F6">
        <v>2</v>
      </c>
      <c r="G6">
        <v>0</v>
      </c>
      <c r="H6">
        <v>0</v>
      </c>
      <c r="I6">
        <v>0</v>
      </c>
      <c r="J6">
        <v>0</v>
      </c>
      <c r="K6">
        <v>0</v>
      </c>
      <c r="L6">
        <v>2</v>
      </c>
      <c r="N6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330.42</v>
      </c>
    </row>
    <row r="7" spans="1:14" x14ac:dyDescent="0.2">
      <c r="A7" t="s">
        <v>293</v>
      </c>
      <c r="B7">
        <v>4415</v>
      </c>
      <c r="C7">
        <v>34</v>
      </c>
      <c r="D7">
        <v>11</v>
      </c>
      <c r="E7">
        <v>159</v>
      </c>
      <c r="F7">
        <v>2</v>
      </c>
      <c r="G7">
        <v>0</v>
      </c>
      <c r="H7">
        <v>0</v>
      </c>
      <c r="I7">
        <v>0</v>
      </c>
      <c r="J7">
        <v>0</v>
      </c>
      <c r="K7">
        <v>0</v>
      </c>
      <c r="L7">
        <v>3</v>
      </c>
      <c r="N7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336.5</v>
      </c>
    </row>
    <row r="8" spans="1:14" x14ac:dyDescent="0.2">
      <c r="A8" t="s">
        <v>294</v>
      </c>
      <c r="B8">
        <v>4009</v>
      </c>
      <c r="C8">
        <v>31</v>
      </c>
      <c r="D8">
        <v>13</v>
      </c>
      <c r="E8">
        <v>235</v>
      </c>
      <c r="F8">
        <v>3</v>
      </c>
      <c r="G8">
        <v>0</v>
      </c>
      <c r="H8">
        <v>0</v>
      </c>
      <c r="I8">
        <v>0</v>
      </c>
      <c r="J8">
        <v>1</v>
      </c>
      <c r="K8">
        <v>0</v>
      </c>
      <c r="L8">
        <v>4</v>
      </c>
      <c r="N8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329.86</v>
      </c>
    </row>
    <row r="9" spans="1:14" x14ac:dyDescent="0.2">
      <c r="A9" t="s">
        <v>295</v>
      </c>
      <c r="B9">
        <v>3621</v>
      </c>
      <c r="C9">
        <v>24</v>
      </c>
      <c r="D9">
        <v>11</v>
      </c>
      <c r="E9">
        <v>549</v>
      </c>
      <c r="F9">
        <v>5</v>
      </c>
      <c r="G9">
        <v>0</v>
      </c>
      <c r="H9">
        <v>0</v>
      </c>
      <c r="I9">
        <v>0</v>
      </c>
      <c r="J9">
        <v>0</v>
      </c>
      <c r="K9">
        <v>0</v>
      </c>
      <c r="L9">
        <v>3</v>
      </c>
      <c r="N9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321.74</v>
      </c>
    </row>
    <row r="10" spans="1:14" x14ac:dyDescent="0.2">
      <c r="A10" t="s">
        <v>296</v>
      </c>
      <c r="B10">
        <v>4163</v>
      </c>
      <c r="C10">
        <v>27</v>
      </c>
      <c r="D10">
        <v>12</v>
      </c>
      <c r="E10">
        <v>272</v>
      </c>
      <c r="F10">
        <v>4</v>
      </c>
      <c r="G10">
        <v>0</v>
      </c>
      <c r="H10">
        <v>0</v>
      </c>
      <c r="I10">
        <v>0</v>
      </c>
      <c r="J10">
        <v>0</v>
      </c>
      <c r="K10">
        <v>0</v>
      </c>
      <c r="L10">
        <v>2</v>
      </c>
      <c r="N10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313.71999999999997</v>
      </c>
    </row>
    <row r="11" spans="1:14" x14ac:dyDescent="0.2">
      <c r="A11" t="s">
        <v>297</v>
      </c>
      <c r="B11">
        <v>3807</v>
      </c>
      <c r="C11">
        <v>27</v>
      </c>
      <c r="D11">
        <v>12</v>
      </c>
      <c r="E11">
        <v>402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3</v>
      </c>
      <c r="N11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318.47999999999996</v>
      </c>
    </row>
    <row r="12" spans="1:14" x14ac:dyDescent="0.2">
      <c r="A12" t="s">
        <v>298</v>
      </c>
      <c r="B12">
        <v>3708</v>
      </c>
      <c r="C12">
        <v>25</v>
      </c>
      <c r="D12">
        <v>13</v>
      </c>
      <c r="E12">
        <v>465</v>
      </c>
      <c r="F12">
        <v>4</v>
      </c>
      <c r="G12">
        <v>0</v>
      </c>
      <c r="H12">
        <v>0</v>
      </c>
      <c r="I12">
        <v>0</v>
      </c>
      <c r="J12">
        <v>1</v>
      </c>
      <c r="K12">
        <v>0</v>
      </c>
      <c r="L12">
        <v>4</v>
      </c>
      <c r="N12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322.82</v>
      </c>
    </row>
    <row r="13" spans="1:14" x14ac:dyDescent="0.2">
      <c r="A13" t="s">
        <v>299</v>
      </c>
      <c r="B13">
        <v>4060</v>
      </c>
      <c r="C13">
        <v>27</v>
      </c>
      <c r="D13">
        <v>13</v>
      </c>
      <c r="E13">
        <v>285</v>
      </c>
      <c r="F13">
        <v>3</v>
      </c>
      <c r="G13">
        <v>0</v>
      </c>
      <c r="H13">
        <v>0</v>
      </c>
      <c r="I13">
        <v>0</v>
      </c>
      <c r="J13">
        <v>0</v>
      </c>
      <c r="K13">
        <v>0</v>
      </c>
      <c r="L13">
        <v>3</v>
      </c>
      <c r="N13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308.89999999999998</v>
      </c>
    </row>
    <row r="14" spans="1:14" x14ac:dyDescent="0.2">
      <c r="A14" t="s">
        <v>300</v>
      </c>
      <c r="B14">
        <v>3720</v>
      </c>
      <c r="C14">
        <v>24</v>
      </c>
      <c r="D14">
        <v>12</v>
      </c>
      <c r="E14">
        <v>384</v>
      </c>
      <c r="F14">
        <v>4</v>
      </c>
      <c r="G14">
        <v>0</v>
      </c>
      <c r="H14">
        <v>0</v>
      </c>
      <c r="I14">
        <v>0</v>
      </c>
      <c r="J14">
        <v>1</v>
      </c>
      <c r="K14">
        <v>0</v>
      </c>
      <c r="L14">
        <v>4</v>
      </c>
      <c r="N14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313.20000000000005</v>
      </c>
    </row>
    <row r="15" spans="1:14" x14ac:dyDescent="0.2">
      <c r="A15" t="s">
        <v>301</v>
      </c>
      <c r="B15">
        <v>3995</v>
      </c>
      <c r="C15">
        <v>26</v>
      </c>
      <c r="D15">
        <v>13</v>
      </c>
      <c r="E15">
        <v>255</v>
      </c>
      <c r="F15">
        <v>3</v>
      </c>
      <c r="G15">
        <v>0</v>
      </c>
      <c r="H15">
        <v>0</v>
      </c>
      <c r="I15">
        <v>0</v>
      </c>
      <c r="J15">
        <v>1</v>
      </c>
      <c r="K15">
        <v>0</v>
      </c>
      <c r="L15">
        <v>4</v>
      </c>
      <c r="N15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311.3</v>
      </c>
    </row>
    <row r="16" spans="1:14" x14ac:dyDescent="0.2">
      <c r="A16" t="s">
        <v>302</v>
      </c>
      <c r="B16">
        <v>2981</v>
      </c>
      <c r="C16">
        <v>16</v>
      </c>
      <c r="D16">
        <v>9</v>
      </c>
      <c r="E16">
        <v>798</v>
      </c>
      <c r="F16">
        <v>7</v>
      </c>
      <c r="G16">
        <v>0</v>
      </c>
      <c r="H16">
        <v>0</v>
      </c>
      <c r="I16">
        <v>0</v>
      </c>
      <c r="J16">
        <v>0</v>
      </c>
      <c r="K16">
        <v>0</v>
      </c>
      <c r="L16">
        <v>4</v>
      </c>
      <c r="N16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311.04000000000002</v>
      </c>
    </row>
    <row r="17" spans="1:14" x14ac:dyDescent="0.2">
      <c r="A17" t="s">
        <v>303</v>
      </c>
      <c r="B17">
        <v>3880</v>
      </c>
      <c r="C17">
        <v>26</v>
      </c>
      <c r="D17">
        <v>10</v>
      </c>
      <c r="E17">
        <v>234</v>
      </c>
      <c r="F17">
        <v>3</v>
      </c>
      <c r="G17">
        <v>0</v>
      </c>
      <c r="H17">
        <v>0</v>
      </c>
      <c r="I17">
        <v>0</v>
      </c>
      <c r="J17">
        <v>0</v>
      </c>
      <c r="K17">
        <v>0</v>
      </c>
      <c r="L17">
        <v>2</v>
      </c>
      <c r="N17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292.60000000000002</v>
      </c>
    </row>
    <row r="18" spans="1:14" x14ac:dyDescent="0.2">
      <c r="A18" t="s">
        <v>304</v>
      </c>
      <c r="B18">
        <v>4179</v>
      </c>
      <c r="C18">
        <v>28</v>
      </c>
      <c r="D18">
        <v>13</v>
      </c>
      <c r="E18">
        <v>159</v>
      </c>
      <c r="F18">
        <v>2</v>
      </c>
      <c r="G18">
        <v>0</v>
      </c>
      <c r="H18">
        <v>0</v>
      </c>
      <c r="I18">
        <v>0</v>
      </c>
      <c r="J18">
        <v>0</v>
      </c>
      <c r="K18">
        <v>0</v>
      </c>
      <c r="L18">
        <v>3</v>
      </c>
      <c r="N18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299.05999999999995</v>
      </c>
    </row>
    <row r="19" spans="1:14" x14ac:dyDescent="0.2">
      <c r="A19" t="s">
        <v>305</v>
      </c>
      <c r="B19">
        <v>4015</v>
      </c>
      <c r="C19">
        <v>27</v>
      </c>
      <c r="D19">
        <v>11</v>
      </c>
      <c r="E19">
        <v>196</v>
      </c>
      <c r="F19">
        <v>2</v>
      </c>
      <c r="G19">
        <v>0</v>
      </c>
      <c r="H19">
        <v>0</v>
      </c>
      <c r="I19">
        <v>0</v>
      </c>
      <c r="J19">
        <v>0</v>
      </c>
      <c r="K19">
        <v>0</v>
      </c>
      <c r="L19">
        <v>3</v>
      </c>
      <c r="N19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296.20000000000005</v>
      </c>
    </row>
    <row r="20" spans="1:14" x14ac:dyDescent="0.2">
      <c r="A20" t="s">
        <v>306</v>
      </c>
      <c r="B20">
        <v>4221</v>
      </c>
      <c r="C20">
        <v>28</v>
      </c>
      <c r="D20">
        <v>11</v>
      </c>
      <c r="E20">
        <v>63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3</v>
      </c>
      <c r="N20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289.14000000000004</v>
      </c>
    </row>
    <row r="21" spans="1:14" x14ac:dyDescent="0.2">
      <c r="A21" t="s">
        <v>307</v>
      </c>
      <c r="B21">
        <v>3613</v>
      </c>
      <c r="C21">
        <v>22</v>
      </c>
      <c r="D21">
        <v>12</v>
      </c>
      <c r="E21">
        <v>297</v>
      </c>
      <c r="F21">
        <v>4</v>
      </c>
      <c r="G21">
        <v>0</v>
      </c>
      <c r="H21">
        <v>0</v>
      </c>
      <c r="I21">
        <v>0</v>
      </c>
      <c r="J21">
        <v>1</v>
      </c>
      <c r="K21">
        <v>0</v>
      </c>
      <c r="L21">
        <v>4</v>
      </c>
      <c r="N21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292.22000000000003</v>
      </c>
    </row>
    <row r="22" spans="1:14" x14ac:dyDescent="0.2">
      <c r="A22" t="s">
        <v>308</v>
      </c>
      <c r="B22">
        <v>3907</v>
      </c>
      <c r="C22">
        <v>26</v>
      </c>
      <c r="D22">
        <v>12</v>
      </c>
      <c r="E22">
        <v>166</v>
      </c>
      <c r="F22">
        <v>2</v>
      </c>
      <c r="G22">
        <v>0</v>
      </c>
      <c r="H22">
        <v>0</v>
      </c>
      <c r="I22">
        <v>0</v>
      </c>
      <c r="J22">
        <v>0</v>
      </c>
      <c r="K22">
        <v>0</v>
      </c>
      <c r="L22">
        <v>3</v>
      </c>
      <c r="N22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282.88</v>
      </c>
    </row>
    <row r="23" spans="1:14" x14ac:dyDescent="0.2">
      <c r="A23" t="s">
        <v>482</v>
      </c>
      <c r="B23">
        <v>3975</v>
      </c>
      <c r="C23">
        <v>26</v>
      </c>
      <c r="D23">
        <v>12</v>
      </c>
      <c r="E23">
        <v>96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3</v>
      </c>
      <c r="N23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272.60000000000002</v>
      </c>
    </row>
    <row r="24" spans="1:14" x14ac:dyDescent="0.2">
      <c r="A24" t="s">
        <v>309</v>
      </c>
      <c r="B24">
        <v>3380</v>
      </c>
      <c r="C24">
        <v>20</v>
      </c>
      <c r="D24">
        <v>14</v>
      </c>
      <c r="E24">
        <v>392</v>
      </c>
      <c r="F24">
        <v>3</v>
      </c>
      <c r="G24">
        <v>0</v>
      </c>
      <c r="H24">
        <v>0</v>
      </c>
      <c r="I24">
        <v>0</v>
      </c>
      <c r="J24">
        <v>1</v>
      </c>
      <c r="K24">
        <v>0</v>
      </c>
      <c r="L24">
        <v>4</v>
      </c>
      <c r="N24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274.39999999999998</v>
      </c>
    </row>
    <row r="25" spans="1:14" x14ac:dyDescent="0.2">
      <c r="A25" t="s">
        <v>310</v>
      </c>
      <c r="B25">
        <v>3972</v>
      </c>
      <c r="C25">
        <v>25</v>
      </c>
      <c r="D25">
        <v>12</v>
      </c>
      <c r="E25">
        <v>48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2</v>
      </c>
      <c r="N25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257.68</v>
      </c>
    </row>
    <row r="26" spans="1:14" x14ac:dyDescent="0.2">
      <c r="A26" t="s">
        <v>311</v>
      </c>
      <c r="B26">
        <v>3724</v>
      </c>
      <c r="C26">
        <v>22</v>
      </c>
      <c r="D26">
        <v>12</v>
      </c>
      <c r="E26">
        <v>225</v>
      </c>
      <c r="F26">
        <v>2</v>
      </c>
      <c r="G26">
        <v>0</v>
      </c>
      <c r="H26">
        <v>0</v>
      </c>
      <c r="I26">
        <v>0</v>
      </c>
      <c r="J26">
        <v>0</v>
      </c>
      <c r="K26">
        <v>0</v>
      </c>
      <c r="L26">
        <v>3</v>
      </c>
      <c r="N26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265.46000000000004</v>
      </c>
    </row>
    <row r="28" spans="1:14" x14ac:dyDescent="0.2">
      <c r="A28" t="s">
        <v>19</v>
      </c>
      <c r="B28" t="s">
        <v>476</v>
      </c>
      <c r="C28" t="s">
        <v>477</v>
      </c>
      <c r="D28" t="s">
        <v>478</v>
      </c>
      <c r="E28" t="s">
        <v>502</v>
      </c>
      <c r="F28" t="s">
        <v>479</v>
      </c>
      <c r="G28" t="s">
        <v>525</v>
      </c>
      <c r="H28" t="s">
        <v>480</v>
      </c>
      <c r="I28" t="s">
        <v>481</v>
      </c>
      <c r="J28" t="s">
        <v>313</v>
      </c>
      <c r="K28" t="s">
        <v>314</v>
      </c>
      <c r="L28" t="s">
        <v>503</v>
      </c>
      <c r="M28" t="s">
        <v>519</v>
      </c>
      <c r="N28" t="s">
        <v>475</v>
      </c>
    </row>
    <row r="29" spans="1:14" x14ac:dyDescent="0.2">
      <c r="A29" t="s">
        <v>315</v>
      </c>
      <c r="B29">
        <v>0</v>
      </c>
      <c r="C29">
        <v>0</v>
      </c>
      <c r="D29">
        <v>0</v>
      </c>
      <c r="E29">
        <v>1348</v>
      </c>
      <c r="F29">
        <v>11</v>
      </c>
      <c r="G29">
        <v>57</v>
      </c>
      <c r="H29">
        <v>436</v>
      </c>
      <c r="I29">
        <v>2</v>
      </c>
      <c r="J29">
        <v>0</v>
      </c>
      <c r="K29">
        <v>0</v>
      </c>
      <c r="L29">
        <v>2</v>
      </c>
      <c r="N29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268.39999999999998</v>
      </c>
    </row>
    <row r="30" spans="1:14" x14ac:dyDescent="0.2">
      <c r="A30" t="s">
        <v>483</v>
      </c>
      <c r="B30">
        <v>0</v>
      </c>
      <c r="C30">
        <v>0</v>
      </c>
      <c r="D30">
        <v>0</v>
      </c>
      <c r="E30">
        <v>1590</v>
      </c>
      <c r="F30">
        <v>11</v>
      </c>
      <c r="G30">
        <v>39</v>
      </c>
      <c r="H30">
        <v>305</v>
      </c>
      <c r="I30">
        <v>2</v>
      </c>
      <c r="J30">
        <v>0</v>
      </c>
      <c r="K30">
        <v>0</v>
      </c>
      <c r="L30">
        <v>2</v>
      </c>
      <c r="N30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279.5</v>
      </c>
    </row>
    <row r="31" spans="1:14" x14ac:dyDescent="0.2">
      <c r="A31" t="s">
        <v>316</v>
      </c>
      <c r="B31">
        <v>0</v>
      </c>
      <c r="C31">
        <v>0</v>
      </c>
      <c r="D31">
        <v>0</v>
      </c>
      <c r="E31">
        <v>1204</v>
      </c>
      <c r="F31">
        <v>12</v>
      </c>
      <c r="G31">
        <v>56</v>
      </c>
      <c r="H31">
        <v>445</v>
      </c>
      <c r="I31">
        <v>2</v>
      </c>
      <c r="J31">
        <v>0</v>
      </c>
      <c r="K31">
        <v>0</v>
      </c>
      <c r="L31">
        <v>2</v>
      </c>
      <c r="N31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260.89999999999998</v>
      </c>
    </row>
    <row r="32" spans="1:14" x14ac:dyDescent="0.2">
      <c r="A32" t="s">
        <v>317</v>
      </c>
      <c r="B32">
        <v>0</v>
      </c>
      <c r="C32">
        <v>0</v>
      </c>
      <c r="D32">
        <v>0</v>
      </c>
      <c r="E32">
        <v>1255</v>
      </c>
      <c r="F32">
        <v>10</v>
      </c>
      <c r="G32">
        <v>49</v>
      </c>
      <c r="H32">
        <v>373</v>
      </c>
      <c r="I32">
        <v>2</v>
      </c>
      <c r="J32">
        <v>0</v>
      </c>
      <c r="K32">
        <v>0</v>
      </c>
      <c r="L32">
        <v>2</v>
      </c>
      <c r="N32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246.8</v>
      </c>
    </row>
    <row r="33" spans="1:14" x14ac:dyDescent="0.2">
      <c r="A33" t="s">
        <v>318</v>
      </c>
      <c r="B33">
        <v>0</v>
      </c>
      <c r="C33">
        <v>0</v>
      </c>
      <c r="D33">
        <v>0</v>
      </c>
      <c r="E33">
        <v>972</v>
      </c>
      <c r="F33">
        <v>8</v>
      </c>
      <c r="G33">
        <v>61</v>
      </c>
      <c r="H33">
        <v>498</v>
      </c>
      <c r="I33">
        <v>3</v>
      </c>
      <c r="J33">
        <v>0</v>
      </c>
      <c r="K33">
        <v>0</v>
      </c>
      <c r="L33">
        <v>2</v>
      </c>
      <c r="N33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225</v>
      </c>
    </row>
    <row r="34" spans="1:14" x14ac:dyDescent="0.2">
      <c r="A34" t="s">
        <v>319</v>
      </c>
      <c r="B34">
        <v>0</v>
      </c>
      <c r="C34">
        <v>0</v>
      </c>
      <c r="D34">
        <v>0</v>
      </c>
      <c r="E34">
        <v>931</v>
      </c>
      <c r="F34">
        <v>7</v>
      </c>
      <c r="G34">
        <v>67</v>
      </c>
      <c r="H34">
        <v>500</v>
      </c>
      <c r="I34">
        <v>3</v>
      </c>
      <c r="J34">
        <v>0</v>
      </c>
      <c r="K34">
        <v>0</v>
      </c>
      <c r="L34">
        <v>2</v>
      </c>
      <c r="N34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215.10000000000002</v>
      </c>
    </row>
    <row r="35" spans="1:14" x14ac:dyDescent="0.2">
      <c r="A35" t="s">
        <v>320</v>
      </c>
      <c r="B35">
        <v>0</v>
      </c>
      <c r="C35">
        <v>0</v>
      </c>
      <c r="D35">
        <v>0</v>
      </c>
      <c r="E35">
        <v>1562</v>
      </c>
      <c r="F35">
        <v>13</v>
      </c>
      <c r="G35">
        <v>15</v>
      </c>
      <c r="H35">
        <v>143</v>
      </c>
      <c r="I35">
        <v>1</v>
      </c>
      <c r="J35">
        <v>0</v>
      </c>
      <c r="K35">
        <v>0</v>
      </c>
      <c r="L35">
        <v>2</v>
      </c>
      <c r="N35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266.5</v>
      </c>
    </row>
    <row r="36" spans="1:14" x14ac:dyDescent="0.2">
      <c r="A36" t="s">
        <v>484</v>
      </c>
      <c r="B36">
        <v>0</v>
      </c>
      <c r="C36">
        <v>0</v>
      </c>
      <c r="D36">
        <v>0</v>
      </c>
      <c r="E36">
        <v>1155</v>
      </c>
      <c r="F36">
        <v>11</v>
      </c>
      <c r="G36">
        <v>39</v>
      </c>
      <c r="H36">
        <v>295</v>
      </c>
      <c r="I36">
        <v>2</v>
      </c>
      <c r="J36">
        <v>0</v>
      </c>
      <c r="K36">
        <v>0</v>
      </c>
      <c r="L36">
        <v>2</v>
      </c>
      <c r="N36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235</v>
      </c>
    </row>
    <row r="37" spans="1:14" x14ac:dyDescent="0.2">
      <c r="A37" t="s">
        <v>321</v>
      </c>
      <c r="B37">
        <v>0</v>
      </c>
      <c r="C37">
        <v>0</v>
      </c>
      <c r="D37">
        <v>0</v>
      </c>
      <c r="E37">
        <v>1320</v>
      </c>
      <c r="F37">
        <v>10</v>
      </c>
      <c r="G37">
        <v>34</v>
      </c>
      <c r="H37">
        <v>255</v>
      </c>
      <c r="I37">
        <v>1</v>
      </c>
      <c r="J37">
        <v>0</v>
      </c>
      <c r="K37">
        <v>0</v>
      </c>
      <c r="L37">
        <v>2</v>
      </c>
      <c r="N37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235.5</v>
      </c>
    </row>
    <row r="38" spans="1:14" x14ac:dyDescent="0.2">
      <c r="A38" t="s">
        <v>322</v>
      </c>
      <c r="B38">
        <v>0</v>
      </c>
      <c r="C38">
        <v>0</v>
      </c>
      <c r="D38">
        <v>0</v>
      </c>
      <c r="E38">
        <v>1013</v>
      </c>
      <c r="F38">
        <v>8</v>
      </c>
      <c r="G38">
        <v>53</v>
      </c>
      <c r="H38">
        <v>395</v>
      </c>
      <c r="I38">
        <v>2</v>
      </c>
      <c r="J38">
        <v>0</v>
      </c>
      <c r="K38">
        <v>0</v>
      </c>
      <c r="L38">
        <v>2</v>
      </c>
      <c r="N38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212.8</v>
      </c>
    </row>
    <row r="39" spans="1:14" x14ac:dyDescent="0.2">
      <c r="A39" t="s">
        <v>323</v>
      </c>
      <c r="B39">
        <v>0</v>
      </c>
      <c r="C39">
        <v>0</v>
      </c>
      <c r="D39">
        <v>0</v>
      </c>
      <c r="E39">
        <v>1094</v>
      </c>
      <c r="F39">
        <v>8</v>
      </c>
      <c r="G39">
        <v>47</v>
      </c>
      <c r="H39">
        <v>357</v>
      </c>
      <c r="I39">
        <v>2</v>
      </c>
      <c r="J39">
        <v>0</v>
      </c>
      <c r="K39">
        <v>0</v>
      </c>
      <c r="L39">
        <v>2</v>
      </c>
      <c r="N39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217.10000000000002</v>
      </c>
    </row>
    <row r="40" spans="1:14" x14ac:dyDescent="0.2">
      <c r="A40" t="s">
        <v>324</v>
      </c>
      <c r="B40">
        <v>0</v>
      </c>
      <c r="C40">
        <v>0</v>
      </c>
      <c r="D40">
        <v>0</v>
      </c>
      <c r="E40">
        <v>1170</v>
      </c>
      <c r="F40">
        <v>11</v>
      </c>
      <c r="G40">
        <v>30</v>
      </c>
      <c r="H40">
        <v>211</v>
      </c>
      <c r="I40">
        <v>1</v>
      </c>
      <c r="J40">
        <v>0</v>
      </c>
      <c r="K40">
        <v>0</v>
      </c>
      <c r="L40">
        <v>2</v>
      </c>
      <c r="N40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222.1</v>
      </c>
    </row>
    <row r="41" spans="1:14" x14ac:dyDescent="0.2">
      <c r="A41" t="s">
        <v>325</v>
      </c>
      <c r="B41">
        <v>0</v>
      </c>
      <c r="C41">
        <v>0</v>
      </c>
      <c r="D41">
        <v>0</v>
      </c>
      <c r="E41">
        <v>1068</v>
      </c>
      <c r="F41">
        <v>10</v>
      </c>
      <c r="G41">
        <v>37</v>
      </c>
      <c r="H41">
        <v>281</v>
      </c>
      <c r="I41">
        <v>1</v>
      </c>
      <c r="J41">
        <v>0</v>
      </c>
      <c r="K41">
        <v>0</v>
      </c>
      <c r="L41">
        <v>2</v>
      </c>
      <c r="N41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212.9</v>
      </c>
    </row>
    <row r="42" spans="1:14" x14ac:dyDescent="0.2">
      <c r="A42" t="s">
        <v>326</v>
      </c>
      <c r="B42">
        <v>0</v>
      </c>
      <c r="C42">
        <v>0</v>
      </c>
      <c r="D42">
        <v>0</v>
      </c>
      <c r="E42">
        <v>875</v>
      </c>
      <c r="F42">
        <v>5</v>
      </c>
      <c r="G42">
        <v>59</v>
      </c>
      <c r="H42">
        <v>435</v>
      </c>
      <c r="I42">
        <v>2</v>
      </c>
      <c r="J42">
        <v>0</v>
      </c>
      <c r="K42">
        <v>0</v>
      </c>
      <c r="L42">
        <v>2</v>
      </c>
      <c r="N42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185</v>
      </c>
    </row>
    <row r="43" spans="1:14" x14ac:dyDescent="0.2">
      <c r="A43" t="s">
        <v>327</v>
      </c>
      <c r="B43">
        <v>0</v>
      </c>
      <c r="C43">
        <v>0</v>
      </c>
      <c r="D43">
        <v>0</v>
      </c>
      <c r="E43">
        <v>951</v>
      </c>
      <c r="F43">
        <v>8</v>
      </c>
      <c r="G43">
        <v>39</v>
      </c>
      <c r="H43">
        <v>292</v>
      </c>
      <c r="I43">
        <v>2</v>
      </c>
      <c r="J43">
        <v>0</v>
      </c>
      <c r="K43">
        <v>0</v>
      </c>
      <c r="L43">
        <v>2</v>
      </c>
      <c r="N43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196.3</v>
      </c>
    </row>
    <row r="44" spans="1:14" x14ac:dyDescent="0.2">
      <c r="A44" t="s">
        <v>328</v>
      </c>
      <c r="B44">
        <v>0</v>
      </c>
      <c r="C44">
        <v>0</v>
      </c>
      <c r="D44">
        <v>0</v>
      </c>
      <c r="E44">
        <v>1035</v>
      </c>
      <c r="F44">
        <v>8</v>
      </c>
      <c r="G44">
        <v>33</v>
      </c>
      <c r="H44">
        <v>257</v>
      </c>
      <c r="I44">
        <v>2</v>
      </c>
      <c r="J44">
        <v>0</v>
      </c>
      <c r="K44">
        <v>0</v>
      </c>
      <c r="L44">
        <v>2</v>
      </c>
      <c r="N44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201.2</v>
      </c>
    </row>
    <row r="45" spans="1:14" x14ac:dyDescent="0.2">
      <c r="A45" t="s">
        <v>329</v>
      </c>
      <c r="B45">
        <v>0</v>
      </c>
      <c r="C45">
        <v>0</v>
      </c>
      <c r="D45">
        <v>0</v>
      </c>
      <c r="E45">
        <v>1005</v>
      </c>
      <c r="F45">
        <v>5</v>
      </c>
      <c r="G45">
        <v>43</v>
      </c>
      <c r="H45">
        <v>330</v>
      </c>
      <c r="I45">
        <v>2</v>
      </c>
      <c r="J45">
        <v>0</v>
      </c>
      <c r="K45">
        <v>0</v>
      </c>
      <c r="L45">
        <v>2</v>
      </c>
      <c r="N45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187.5</v>
      </c>
    </row>
    <row r="46" spans="1:14" x14ac:dyDescent="0.2">
      <c r="A46" t="s">
        <v>330</v>
      </c>
      <c r="B46">
        <v>0</v>
      </c>
      <c r="C46">
        <v>0</v>
      </c>
      <c r="D46">
        <v>0</v>
      </c>
      <c r="E46">
        <v>1046</v>
      </c>
      <c r="F46">
        <v>7</v>
      </c>
      <c r="G46">
        <v>37</v>
      </c>
      <c r="H46">
        <v>272</v>
      </c>
      <c r="I46">
        <v>1</v>
      </c>
      <c r="J46">
        <v>0</v>
      </c>
      <c r="K46">
        <v>0</v>
      </c>
      <c r="L46">
        <v>2</v>
      </c>
      <c r="N46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191.8</v>
      </c>
    </row>
    <row r="47" spans="1:14" x14ac:dyDescent="0.2">
      <c r="A47" t="s">
        <v>331</v>
      </c>
      <c r="B47">
        <v>0</v>
      </c>
      <c r="C47">
        <v>0</v>
      </c>
      <c r="D47">
        <v>0</v>
      </c>
      <c r="E47">
        <v>960</v>
      </c>
      <c r="F47">
        <v>6</v>
      </c>
      <c r="G47">
        <v>44</v>
      </c>
      <c r="H47">
        <v>320</v>
      </c>
      <c r="I47">
        <v>1</v>
      </c>
      <c r="J47">
        <v>0</v>
      </c>
      <c r="K47">
        <v>0</v>
      </c>
      <c r="L47">
        <v>1</v>
      </c>
      <c r="N47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176</v>
      </c>
    </row>
    <row r="48" spans="1:14" x14ac:dyDescent="0.2">
      <c r="A48" t="s">
        <v>332</v>
      </c>
      <c r="B48">
        <v>0</v>
      </c>
      <c r="C48">
        <v>0</v>
      </c>
      <c r="D48">
        <v>0</v>
      </c>
      <c r="E48">
        <v>840</v>
      </c>
      <c r="F48">
        <v>6</v>
      </c>
      <c r="G48">
        <v>41</v>
      </c>
      <c r="H48">
        <v>312</v>
      </c>
      <c r="I48">
        <v>2</v>
      </c>
      <c r="J48">
        <v>0</v>
      </c>
      <c r="K48">
        <v>0</v>
      </c>
      <c r="L48">
        <v>1</v>
      </c>
      <c r="N48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169.2</v>
      </c>
    </row>
    <row r="49" spans="1:14" x14ac:dyDescent="0.2">
      <c r="A49" t="s">
        <v>485</v>
      </c>
      <c r="B49">
        <v>0</v>
      </c>
      <c r="C49">
        <v>0</v>
      </c>
      <c r="D49">
        <v>0</v>
      </c>
      <c r="E49">
        <v>770</v>
      </c>
      <c r="F49">
        <v>6</v>
      </c>
      <c r="G49">
        <v>43</v>
      </c>
      <c r="H49">
        <v>315</v>
      </c>
      <c r="I49">
        <v>2</v>
      </c>
      <c r="J49">
        <v>0</v>
      </c>
      <c r="K49">
        <v>0</v>
      </c>
      <c r="L49">
        <v>0</v>
      </c>
      <c r="N49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156.5</v>
      </c>
    </row>
    <row r="50" spans="1:14" x14ac:dyDescent="0.2">
      <c r="A50" t="s">
        <v>333</v>
      </c>
      <c r="B50">
        <v>0</v>
      </c>
      <c r="C50">
        <v>0</v>
      </c>
      <c r="D50">
        <v>0</v>
      </c>
      <c r="E50">
        <v>865</v>
      </c>
      <c r="F50">
        <v>7</v>
      </c>
      <c r="G50">
        <v>33</v>
      </c>
      <c r="H50">
        <v>243</v>
      </c>
      <c r="I50">
        <v>1</v>
      </c>
      <c r="J50">
        <v>0</v>
      </c>
      <c r="K50">
        <v>0</v>
      </c>
      <c r="L50">
        <v>1</v>
      </c>
      <c r="N50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164.8</v>
      </c>
    </row>
    <row r="51" spans="1:14" x14ac:dyDescent="0.2">
      <c r="A51" t="s">
        <v>334</v>
      </c>
      <c r="B51">
        <v>0</v>
      </c>
      <c r="C51">
        <v>0</v>
      </c>
      <c r="D51">
        <v>0</v>
      </c>
      <c r="E51">
        <v>786</v>
      </c>
      <c r="F51">
        <v>8</v>
      </c>
      <c r="G51">
        <v>29</v>
      </c>
      <c r="H51">
        <v>220</v>
      </c>
      <c r="I51">
        <v>1</v>
      </c>
      <c r="J51">
        <v>0</v>
      </c>
      <c r="K51">
        <v>0</v>
      </c>
      <c r="L51">
        <v>1</v>
      </c>
      <c r="N51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160.60000000000002</v>
      </c>
    </row>
    <row r="52" spans="1:14" x14ac:dyDescent="0.2">
      <c r="A52" t="s">
        <v>335</v>
      </c>
      <c r="B52">
        <v>0</v>
      </c>
      <c r="C52">
        <v>0</v>
      </c>
      <c r="D52">
        <v>0</v>
      </c>
      <c r="E52">
        <v>880</v>
      </c>
      <c r="F52">
        <v>6</v>
      </c>
      <c r="G52">
        <v>32</v>
      </c>
      <c r="H52">
        <v>235</v>
      </c>
      <c r="I52">
        <v>1</v>
      </c>
      <c r="J52">
        <v>0</v>
      </c>
      <c r="K52">
        <v>0</v>
      </c>
      <c r="L52">
        <v>2</v>
      </c>
      <c r="N52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165.5</v>
      </c>
    </row>
    <row r="53" spans="1:14" x14ac:dyDescent="0.2">
      <c r="A53" t="s">
        <v>336</v>
      </c>
      <c r="B53">
        <v>0</v>
      </c>
      <c r="C53">
        <v>0</v>
      </c>
      <c r="D53">
        <v>0</v>
      </c>
      <c r="E53">
        <v>849</v>
      </c>
      <c r="F53">
        <v>5</v>
      </c>
      <c r="G53">
        <v>36</v>
      </c>
      <c r="H53">
        <v>253</v>
      </c>
      <c r="I53">
        <v>1</v>
      </c>
      <c r="J53">
        <v>0</v>
      </c>
      <c r="K53">
        <v>0</v>
      </c>
      <c r="L53">
        <v>1</v>
      </c>
      <c r="N53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152.20000000000002</v>
      </c>
    </row>
    <row r="54" spans="1:14" x14ac:dyDescent="0.2">
      <c r="A54" t="s">
        <v>337</v>
      </c>
      <c r="B54">
        <v>0</v>
      </c>
      <c r="C54">
        <v>0</v>
      </c>
      <c r="D54">
        <v>0</v>
      </c>
      <c r="E54">
        <v>795</v>
      </c>
      <c r="F54">
        <v>5</v>
      </c>
      <c r="G54">
        <v>37</v>
      </c>
      <c r="H54">
        <v>275</v>
      </c>
      <c r="I54">
        <v>1</v>
      </c>
      <c r="J54">
        <v>0</v>
      </c>
      <c r="K54">
        <v>0</v>
      </c>
      <c r="L54">
        <v>1</v>
      </c>
      <c r="N54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149</v>
      </c>
    </row>
    <row r="55" spans="1:14" x14ac:dyDescent="0.2">
      <c r="A55" t="s">
        <v>338</v>
      </c>
      <c r="B55">
        <v>0</v>
      </c>
      <c r="C55">
        <v>0</v>
      </c>
      <c r="D55">
        <v>0</v>
      </c>
      <c r="E55">
        <v>690</v>
      </c>
      <c r="F55">
        <v>4</v>
      </c>
      <c r="G55">
        <v>45</v>
      </c>
      <c r="H55">
        <v>340</v>
      </c>
      <c r="I55">
        <v>1</v>
      </c>
      <c r="J55">
        <v>0</v>
      </c>
      <c r="K55">
        <v>0</v>
      </c>
      <c r="L55">
        <v>1</v>
      </c>
      <c r="N55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139</v>
      </c>
    </row>
    <row r="56" spans="1:14" x14ac:dyDescent="0.2">
      <c r="A56" t="s">
        <v>339</v>
      </c>
      <c r="B56">
        <v>0</v>
      </c>
      <c r="C56">
        <v>0</v>
      </c>
      <c r="D56">
        <v>0</v>
      </c>
      <c r="E56">
        <v>798</v>
      </c>
      <c r="F56">
        <v>4</v>
      </c>
      <c r="G56">
        <v>36</v>
      </c>
      <c r="H56">
        <v>270</v>
      </c>
      <c r="I56">
        <v>2</v>
      </c>
      <c r="J56">
        <v>0</v>
      </c>
      <c r="K56">
        <v>0</v>
      </c>
      <c r="L56">
        <v>2</v>
      </c>
      <c r="N56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154.80000000000001</v>
      </c>
    </row>
    <row r="57" spans="1:14" x14ac:dyDescent="0.2">
      <c r="A57" t="s">
        <v>340</v>
      </c>
      <c r="B57">
        <v>0</v>
      </c>
      <c r="C57">
        <v>0</v>
      </c>
      <c r="D57">
        <v>0</v>
      </c>
      <c r="E57">
        <v>840</v>
      </c>
      <c r="F57">
        <v>7</v>
      </c>
      <c r="G57">
        <v>25</v>
      </c>
      <c r="H57">
        <v>185</v>
      </c>
      <c r="I57">
        <v>1</v>
      </c>
      <c r="J57">
        <v>0</v>
      </c>
      <c r="K57">
        <v>0</v>
      </c>
      <c r="L57">
        <v>1</v>
      </c>
      <c r="N57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156.5</v>
      </c>
    </row>
    <row r="58" spans="1:14" x14ac:dyDescent="0.2">
      <c r="A58" t="s">
        <v>341</v>
      </c>
      <c r="B58">
        <v>0</v>
      </c>
      <c r="C58">
        <v>0</v>
      </c>
      <c r="D58">
        <v>0</v>
      </c>
      <c r="E58">
        <v>590</v>
      </c>
      <c r="F58">
        <v>5</v>
      </c>
      <c r="G58">
        <v>38</v>
      </c>
      <c r="H58">
        <v>275</v>
      </c>
      <c r="I58">
        <v>2</v>
      </c>
      <c r="J58">
        <v>0</v>
      </c>
      <c r="K58">
        <v>0</v>
      </c>
      <c r="L58">
        <v>2</v>
      </c>
      <c r="N58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140.5</v>
      </c>
    </row>
    <row r="59" spans="1:14" x14ac:dyDescent="0.2">
      <c r="A59" t="s">
        <v>342</v>
      </c>
      <c r="B59">
        <v>0</v>
      </c>
      <c r="C59">
        <v>0</v>
      </c>
      <c r="D59">
        <v>0</v>
      </c>
      <c r="E59">
        <v>505</v>
      </c>
      <c r="F59">
        <v>4</v>
      </c>
      <c r="G59">
        <v>40</v>
      </c>
      <c r="H59">
        <v>315</v>
      </c>
      <c r="I59">
        <v>2</v>
      </c>
      <c r="J59">
        <v>0</v>
      </c>
      <c r="K59">
        <v>0</v>
      </c>
      <c r="L59">
        <v>1</v>
      </c>
      <c r="N59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124</v>
      </c>
    </row>
    <row r="60" spans="1:14" x14ac:dyDescent="0.2">
      <c r="A60" t="s">
        <v>343</v>
      </c>
      <c r="B60">
        <v>0</v>
      </c>
      <c r="C60">
        <v>0</v>
      </c>
      <c r="D60">
        <v>0</v>
      </c>
      <c r="E60">
        <v>601</v>
      </c>
      <c r="F60">
        <v>5</v>
      </c>
      <c r="G60">
        <v>39</v>
      </c>
      <c r="H60">
        <v>285</v>
      </c>
      <c r="I60">
        <v>1</v>
      </c>
      <c r="J60">
        <v>0</v>
      </c>
      <c r="K60">
        <v>0</v>
      </c>
      <c r="L60">
        <v>1</v>
      </c>
      <c r="N60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130.6</v>
      </c>
    </row>
    <row r="61" spans="1:14" x14ac:dyDescent="0.2">
      <c r="A61" t="s">
        <v>344</v>
      </c>
      <c r="B61">
        <v>0</v>
      </c>
      <c r="C61">
        <v>0</v>
      </c>
      <c r="D61">
        <v>0</v>
      </c>
      <c r="E61">
        <v>582</v>
      </c>
      <c r="F61">
        <v>4</v>
      </c>
      <c r="G61">
        <v>39</v>
      </c>
      <c r="H61">
        <v>295</v>
      </c>
      <c r="I61">
        <v>2</v>
      </c>
      <c r="J61">
        <v>0</v>
      </c>
      <c r="K61">
        <v>0</v>
      </c>
      <c r="L61">
        <v>1</v>
      </c>
      <c r="N61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129.69999999999999</v>
      </c>
    </row>
    <row r="62" spans="1:14" x14ac:dyDescent="0.2">
      <c r="A62" t="s">
        <v>345</v>
      </c>
      <c r="B62">
        <v>0</v>
      </c>
      <c r="C62">
        <v>0</v>
      </c>
      <c r="D62">
        <v>0</v>
      </c>
      <c r="E62">
        <v>715</v>
      </c>
      <c r="F62">
        <v>5</v>
      </c>
      <c r="G62">
        <v>20</v>
      </c>
      <c r="H62">
        <v>145</v>
      </c>
      <c r="I62">
        <v>1</v>
      </c>
      <c r="J62">
        <v>0</v>
      </c>
      <c r="K62">
        <v>0</v>
      </c>
      <c r="L62">
        <v>0</v>
      </c>
      <c r="N62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122</v>
      </c>
    </row>
    <row r="63" spans="1:14" x14ac:dyDescent="0.2">
      <c r="A63" t="s">
        <v>346</v>
      </c>
      <c r="B63">
        <v>0</v>
      </c>
      <c r="C63">
        <v>0</v>
      </c>
      <c r="D63">
        <v>0</v>
      </c>
      <c r="E63">
        <v>545</v>
      </c>
      <c r="F63">
        <v>4</v>
      </c>
      <c r="G63">
        <v>32</v>
      </c>
      <c r="H63">
        <v>231</v>
      </c>
      <c r="I63">
        <v>1</v>
      </c>
      <c r="J63">
        <v>0</v>
      </c>
      <c r="K63">
        <v>0</v>
      </c>
      <c r="L63">
        <v>0</v>
      </c>
      <c r="N63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107.6</v>
      </c>
    </row>
    <row r="64" spans="1:14" x14ac:dyDescent="0.2">
      <c r="A64" t="s">
        <v>347</v>
      </c>
      <c r="B64">
        <v>0</v>
      </c>
      <c r="C64">
        <v>0</v>
      </c>
      <c r="D64">
        <v>0</v>
      </c>
      <c r="E64">
        <v>552</v>
      </c>
      <c r="F64">
        <v>3</v>
      </c>
      <c r="G64">
        <v>27</v>
      </c>
      <c r="H64">
        <v>205</v>
      </c>
      <c r="I64">
        <v>1</v>
      </c>
      <c r="J64">
        <v>0</v>
      </c>
      <c r="K64">
        <v>0</v>
      </c>
      <c r="L64">
        <v>0</v>
      </c>
      <c r="N64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99.7</v>
      </c>
    </row>
    <row r="65" spans="1:14" x14ac:dyDescent="0.2">
      <c r="A65" t="s">
        <v>348</v>
      </c>
      <c r="B65">
        <v>0</v>
      </c>
      <c r="C65">
        <v>0</v>
      </c>
      <c r="D65">
        <v>0</v>
      </c>
      <c r="E65">
        <v>568</v>
      </c>
      <c r="F65">
        <v>4</v>
      </c>
      <c r="G65">
        <v>24</v>
      </c>
      <c r="H65">
        <v>178</v>
      </c>
      <c r="I65">
        <v>1</v>
      </c>
      <c r="J65">
        <v>0</v>
      </c>
      <c r="K65">
        <v>0</v>
      </c>
      <c r="L65">
        <v>1</v>
      </c>
      <c r="N65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110.60000000000001</v>
      </c>
    </row>
    <row r="66" spans="1:14" x14ac:dyDescent="0.2">
      <c r="A66" t="s">
        <v>349</v>
      </c>
      <c r="B66">
        <v>0</v>
      </c>
      <c r="C66">
        <v>0</v>
      </c>
      <c r="D66">
        <v>0</v>
      </c>
      <c r="E66">
        <v>524</v>
      </c>
      <c r="F66">
        <v>5</v>
      </c>
      <c r="G66">
        <v>20</v>
      </c>
      <c r="H66">
        <v>195</v>
      </c>
      <c r="I66">
        <v>1</v>
      </c>
      <c r="J66">
        <v>0</v>
      </c>
      <c r="K66">
        <v>0</v>
      </c>
      <c r="L66">
        <v>1</v>
      </c>
      <c r="N66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113.9</v>
      </c>
    </row>
    <row r="67" spans="1:14" x14ac:dyDescent="0.2">
      <c r="A67" t="s">
        <v>350</v>
      </c>
      <c r="B67">
        <v>0</v>
      </c>
      <c r="C67">
        <v>0</v>
      </c>
      <c r="D67">
        <v>0</v>
      </c>
      <c r="E67">
        <v>540</v>
      </c>
      <c r="F67">
        <v>4</v>
      </c>
      <c r="G67">
        <v>24</v>
      </c>
      <c r="H67">
        <v>172</v>
      </c>
      <c r="I67">
        <v>1</v>
      </c>
      <c r="J67">
        <v>0</v>
      </c>
      <c r="K67">
        <v>0</v>
      </c>
      <c r="L67">
        <v>1</v>
      </c>
      <c r="N67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107.2</v>
      </c>
    </row>
    <row r="68" spans="1:14" x14ac:dyDescent="0.2">
      <c r="A68" t="s">
        <v>351</v>
      </c>
      <c r="B68">
        <v>0</v>
      </c>
      <c r="C68">
        <v>0</v>
      </c>
      <c r="D68">
        <v>0</v>
      </c>
      <c r="E68">
        <v>587</v>
      </c>
      <c r="F68">
        <v>5</v>
      </c>
      <c r="G68">
        <v>15</v>
      </c>
      <c r="H68">
        <v>112</v>
      </c>
      <c r="I68">
        <v>1</v>
      </c>
      <c r="J68">
        <v>0</v>
      </c>
      <c r="K68">
        <v>0</v>
      </c>
      <c r="L68">
        <v>0</v>
      </c>
      <c r="N68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105.9</v>
      </c>
    </row>
    <row r="69" spans="1:14" x14ac:dyDescent="0.2">
      <c r="A69" t="s">
        <v>486</v>
      </c>
      <c r="B69">
        <v>0</v>
      </c>
      <c r="C69">
        <v>0</v>
      </c>
      <c r="D69">
        <v>0</v>
      </c>
      <c r="E69">
        <v>528</v>
      </c>
      <c r="F69">
        <v>4</v>
      </c>
      <c r="G69">
        <v>21</v>
      </c>
      <c r="H69">
        <v>155</v>
      </c>
      <c r="I69">
        <v>1</v>
      </c>
      <c r="J69">
        <v>0</v>
      </c>
      <c r="K69">
        <v>0</v>
      </c>
      <c r="L69">
        <v>0</v>
      </c>
      <c r="N69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98.300000000000011</v>
      </c>
    </row>
    <row r="70" spans="1:14" x14ac:dyDescent="0.2">
      <c r="A70" t="s">
        <v>352</v>
      </c>
      <c r="B70">
        <v>0</v>
      </c>
      <c r="C70">
        <v>0</v>
      </c>
      <c r="D70">
        <v>0</v>
      </c>
      <c r="E70">
        <v>550</v>
      </c>
      <c r="F70">
        <v>5</v>
      </c>
      <c r="G70">
        <v>17</v>
      </c>
      <c r="H70">
        <v>131</v>
      </c>
      <c r="I70">
        <v>1</v>
      </c>
      <c r="J70">
        <v>0</v>
      </c>
      <c r="K70">
        <v>0</v>
      </c>
      <c r="L70">
        <v>1</v>
      </c>
      <c r="N70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110.1</v>
      </c>
    </row>
    <row r="71" spans="1:14" x14ac:dyDescent="0.2">
      <c r="A71" t="s">
        <v>353</v>
      </c>
      <c r="B71">
        <v>0</v>
      </c>
      <c r="C71">
        <v>0</v>
      </c>
      <c r="D71">
        <v>0</v>
      </c>
      <c r="E71">
        <v>545</v>
      </c>
      <c r="F71">
        <v>5</v>
      </c>
      <c r="G71">
        <v>15</v>
      </c>
      <c r="H71">
        <v>111</v>
      </c>
      <c r="I71">
        <v>1</v>
      </c>
      <c r="J71">
        <v>0</v>
      </c>
      <c r="K71">
        <v>0</v>
      </c>
      <c r="L71">
        <v>0</v>
      </c>
      <c r="N71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101.6</v>
      </c>
    </row>
    <row r="72" spans="1:14" x14ac:dyDescent="0.2">
      <c r="A72" t="s">
        <v>354</v>
      </c>
      <c r="B72">
        <v>0</v>
      </c>
      <c r="C72">
        <v>0</v>
      </c>
      <c r="D72">
        <v>0</v>
      </c>
      <c r="E72">
        <v>390</v>
      </c>
      <c r="F72">
        <v>2</v>
      </c>
      <c r="G72">
        <v>35</v>
      </c>
      <c r="H72">
        <v>255</v>
      </c>
      <c r="I72">
        <v>1</v>
      </c>
      <c r="J72">
        <v>0</v>
      </c>
      <c r="K72">
        <v>0</v>
      </c>
      <c r="L72">
        <v>1</v>
      </c>
      <c r="N72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88.5</v>
      </c>
    </row>
    <row r="73" spans="1:14" x14ac:dyDescent="0.2">
      <c r="A73" t="s">
        <v>355</v>
      </c>
      <c r="B73">
        <v>0</v>
      </c>
      <c r="C73">
        <v>0</v>
      </c>
      <c r="D73">
        <v>0</v>
      </c>
      <c r="E73">
        <v>591</v>
      </c>
      <c r="F73">
        <v>4</v>
      </c>
      <c r="G73">
        <v>16</v>
      </c>
      <c r="H73">
        <v>117</v>
      </c>
      <c r="I73">
        <v>1</v>
      </c>
      <c r="J73">
        <v>0</v>
      </c>
      <c r="K73">
        <v>0</v>
      </c>
      <c r="L73">
        <v>1</v>
      </c>
      <c r="N73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106.8</v>
      </c>
    </row>
    <row r="74" spans="1:14" x14ac:dyDescent="0.2">
      <c r="A74" t="s">
        <v>356</v>
      </c>
      <c r="B74">
        <v>0</v>
      </c>
      <c r="C74">
        <v>0</v>
      </c>
      <c r="D74">
        <v>0</v>
      </c>
      <c r="E74">
        <v>473</v>
      </c>
      <c r="F74">
        <v>3</v>
      </c>
      <c r="G74">
        <v>25</v>
      </c>
      <c r="H74">
        <v>191</v>
      </c>
      <c r="I74">
        <v>1</v>
      </c>
      <c r="J74">
        <v>0</v>
      </c>
      <c r="K74">
        <v>0</v>
      </c>
      <c r="L74">
        <v>1</v>
      </c>
      <c r="N74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96.4</v>
      </c>
    </row>
    <row r="75" spans="1:14" x14ac:dyDescent="0.2">
      <c r="A75" t="s">
        <v>357</v>
      </c>
      <c r="B75">
        <v>0</v>
      </c>
      <c r="C75">
        <v>0</v>
      </c>
      <c r="D75">
        <v>0</v>
      </c>
      <c r="E75">
        <v>575</v>
      </c>
      <c r="F75">
        <v>4</v>
      </c>
      <c r="G75">
        <v>14</v>
      </c>
      <c r="H75">
        <v>106</v>
      </c>
      <c r="I75">
        <v>1</v>
      </c>
      <c r="J75">
        <v>0</v>
      </c>
      <c r="K75">
        <v>0</v>
      </c>
      <c r="L75">
        <v>1</v>
      </c>
      <c r="N75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104.1</v>
      </c>
    </row>
    <row r="76" spans="1:14" x14ac:dyDescent="0.2">
      <c r="A76" t="s">
        <v>358</v>
      </c>
      <c r="B76">
        <v>0</v>
      </c>
      <c r="C76">
        <v>0</v>
      </c>
      <c r="D76">
        <v>0</v>
      </c>
      <c r="E76">
        <v>373</v>
      </c>
      <c r="F76">
        <v>3</v>
      </c>
      <c r="G76">
        <v>28</v>
      </c>
      <c r="H76">
        <v>198</v>
      </c>
      <c r="I76">
        <v>1</v>
      </c>
      <c r="J76">
        <v>0</v>
      </c>
      <c r="K76">
        <v>0</v>
      </c>
      <c r="L76">
        <v>1</v>
      </c>
      <c r="N76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87.100000000000009</v>
      </c>
    </row>
    <row r="77" spans="1:14" x14ac:dyDescent="0.2">
      <c r="A77" t="s">
        <v>359</v>
      </c>
      <c r="B77">
        <v>0</v>
      </c>
      <c r="C77">
        <v>0</v>
      </c>
      <c r="D77">
        <v>0</v>
      </c>
      <c r="E77">
        <v>355</v>
      </c>
      <c r="F77">
        <v>3</v>
      </c>
      <c r="G77">
        <v>28</v>
      </c>
      <c r="H77">
        <v>213</v>
      </c>
      <c r="I77">
        <v>1</v>
      </c>
      <c r="J77">
        <v>0</v>
      </c>
      <c r="K77">
        <v>0</v>
      </c>
      <c r="L77">
        <v>1</v>
      </c>
      <c r="N77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86.8</v>
      </c>
    </row>
    <row r="78" spans="1:14" x14ac:dyDescent="0.2">
      <c r="A78" t="s">
        <v>360</v>
      </c>
      <c r="B78">
        <v>0</v>
      </c>
      <c r="C78">
        <v>0</v>
      </c>
      <c r="D78">
        <v>0</v>
      </c>
      <c r="E78">
        <v>434</v>
      </c>
      <c r="F78">
        <v>3</v>
      </c>
      <c r="G78">
        <v>22</v>
      </c>
      <c r="H78">
        <v>165</v>
      </c>
      <c r="I78">
        <v>1</v>
      </c>
      <c r="J78">
        <v>0</v>
      </c>
      <c r="K78">
        <v>0</v>
      </c>
      <c r="L78">
        <v>0</v>
      </c>
      <c r="N78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83.9</v>
      </c>
    </row>
    <row r="80" spans="1:14" x14ac:dyDescent="0.2">
      <c r="A80" s="7" t="s">
        <v>17</v>
      </c>
      <c r="B80" s="7" t="s">
        <v>476</v>
      </c>
      <c r="C80" s="7" t="s">
        <v>477</v>
      </c>
      <c r="D80" s="7" t="s">
        <v>478</v>
      </c>
      <c r="E80" s="7" t="s">
        <v>502</v>
      </c>
      <c r="F80" s="7" t="s">
        <v>479</v>
      </c>
      <c r="G80" s="7" t="s">
        <v>525</v>
      </c>
      <c r="H80" s="7" t="s">
        <v>480</v>
      </c>
      <c r="I80" s="7" t="s">
        <v>481</v>
      </c>
      <c r="J80" s="7" t="s">
        <v>313</v>
      </c>
      <c r="K80" s="7" t="s">
        <v>314</v>
      </c>
      <c r="L80" s="7" t="s">
        <v>503</v>
      </c>
      <c r="M80" s="7" t="s">
        <v>519</v>
      </c>
      <c r="N80" s="7" t="s">
        <v>475</v>
      </c>
    </row>
    <row r="81" spans="1:14" x14ac:dyDescent="0.2">
      <c r="A81" t="s">
        <v>361</v>
      </c>
      <c r="B81">
        <v>0</v>
      </c>
      <c r="C81">
        <v>0</v>
      </c>
      <c r="D81">
        <v>0</v>
      </c>
      <c r="E81">
        <v>23</v>
      </c>
      <c r="F81">
        <v>0</v>
      </c>
      <c r="G81">
        <v>113</v>
      </c>
      <c r="H81">
        <v>1490</v>
      </c>
      <c r="I81">
        <v>11</v>
      </c>
      <c r="J81">
        <v>0</v>
      </c>
      <c r="K81">
        <v>0</v>
      </c>
      <c r="L81">
        <v>1</v>
      </c>
      <c r="N81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223.3</v>
      </c>
    </row>
    <row r="82" spans="1:14" x14ac:dyDescent="0.2">
      <c r="A82" t="s">
        <v>362</v>
      </c>
      <c r="B82">
        <v>0</v>
      </c>
      <c r="C82">
        <v>0</v>
      </c>
      <c r="D82">
        <v>0</v>
      </c>
      <c r="E82">
        <v>81</v>
      </c>
      <c r="F82">
        <v>1</v>
      </c>
      <c r="G82">
        <v>108</v>
      </c>
      <c r="H82">
        <v>1324</v>
      </c>
      <c r="I82">
        <v>8</v>
      </c>
      <c r="J82">
        <v>0</v>
      </c>
      <c r="K82">
        <v>0</v>
      </c>
      <c r="L82">
        <v>1</v>
      </c>
      <c r="N82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200.5</v>
      </c>
    </row>
    <row r="83" spans="1:14" x14ac:dyDescent="0.2">
      <c r="A83" t="s">
        <v>363</v>
      </c>
      <c r="B83">
        <v>0</v>
      </c>
      <c r="C83">
        <v>0</v>
      </c>
      <c r="D83">
        <v>0</v>
      </c>
      <c r="E83">
        <v>6</v>
      </c>
      <c r="F83">
        <v>0</v>
      </c>
      <c r="G83">
        <v>102</v>
      </c>
      <c r="H83">
        <v>1437</v>
      </c>
      <c r="I83">
        <v>9</v>
      </c>
      <c r="J83">
        <v>0</v>
      </c>
      <c r="K83">
        <v>0</v>
      </c>
      <c r="L83">
        <v>1</v>
      </c>
      <c r="N83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204.3</v>
      </c>
    </row>
    <row r="84" spans="1:14" x14ac:dyDescent="0.2">
      <c r="A84" t="s">
        <v>364</v>
      </c>
      <c r="B84">
        <v>0</v>
      </c>
      <c r="C84">
        <v>0</v>
      </c>
      <c r="D84">
        <v>0</v>
      </c>
      <c r="E84">
        <v>35</v>
      </c>
      <c r="F84">
        <v>0</v>
      </c>
      <c r="G84">
        <v>102</v>
      </c>
      <c r="H84">
        <v>1230</v>
      </c>
      <c r="I84">
        <v>8</v>
      </c>
      <c r="J84">
        <v>0</v>
      </c>
      <c r="K84">
        <v>0</v>
      </c>
      <c r="L84">
        <v>1</v>
      </c>
      <c r="N84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180.5</v>
      </c>
    </row>
    <row r="85" spans="1:14" x14ac:dyDescent="0.2">
      <c r="A85" t="s">
        <v>365</v>
      </c>
      <c r="B85">
        <v>0</v>
      </c>
      <c r="C85">
        <v>0</v>
      </c>
      <c r="D85">
        <v>0</v>
      </c>
      <c r="E85">
        <v>18</v>
      </c>
      <c r="F85">
        <v>0</v>
      </c>
      <c r="G85">
        <v>96</v>
      </c>
      <c r="H85">
        <v>1305</v>
      </c>
      <c r="I85">
        <v>8</v>
      </c>
      <c r="J85">
        <v>0</v>
      </c>
      <c r="K85">
        <v>0</v>
      </c>
      <c r="L85">
        <v>1</v>
      </c>
      <c r="N85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186.3</v>
      </c>
    </row>
    <row r="86" spans="1:14" x14ac:dyDescent="0.2">
      <c r="A86" t="s">
        <v>366</v>
      </c>
      <c r="B86">
        <v>0</v>
      </c>
      <c r="C86">
        <v>0</v>
      </c>
      <c r="D86">
        <v>0</v>
      </c>
      <c r="E86">
        <v>75</v>
      </c>
      <c r="F86">
        <v>1</v>
      </c>
      <c r="G86">
        <v>97</v>
      </c>
      <c r="H86">
        <v>1237</v>
      </c>
      <c r="I86">
        <v>7</v>
      </c>
      <c r="J86">
        <v>0</v>
      </c>
      <c r="K86">
        <v>0</v>
      </c>
      <c r="L86">
        <v>1</v>
      </c>
      <c r="N86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185.2</v>
      </c>
    </row>
    <row r="87" spans="1:14" x14ac:dyDescent="0.2">
      <c r="A87" t="s">
        <v>367</v>
      </c>
      <c r="B87">
        <v>0</v>
      </c>
      <c r="C87">
        <v>0</v>
      </c>
      <c r="D87">
        <v>0</v>
      </c>
      <c r="E87">
        <v>6</v>
      </c>
      <c r="F87">
        <v>0</v>
      </c>
      <c r="G87">
        <v>91</v>
      </c>
      <c r="H87">
        <v>1305</v>
      </c>
      <c r="I87">
        <v>9</v>
      </c>
      <c r="J87">
        <v>0</v>
      </c>
      <c r="K87">
        <v>0</v>
      </c>
      <c r="L87">
        <v>1</v>
      </c>
      <c r="N87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191.1</v>
      </c>
    </row>
    <row r="88" spans="1:14" x14ac:dyDescent="0.2">
      <c r="A88" t="s">
        <v>368</v>
      </c>
      <c r="B88">
        <v>0</v>
      </c>
      <c r="C88">
        <v>0</v>
      </c>
      <c r="D88">
        <v>0</v>
      </c>
      <c r="E88">
        <v>12</v>
      </c>
      <c r="F88">
        <v>0</v>
      </c>
      <c r="G88">
        <v>105</v>
      </c>
      <c r="H88">
        <v>1215</v>
      </c>
      <c r="I88">
        <v>8</v>
      </c>
      <c r="J88">
        <v>0</v>
      </c>
      <c r="K88">
        <v>0</v>
      </c>
      <c r="L88">
        <v>1</v>
      </c>
      <c r="N88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176.7</v>
      </c>
    </row>
    <row r="89" spans="1:14" x14ac:dyDescent="0.2">
      <c r="A89" t="s">
        <v>487</v>
      </c>
      <c r="B89">
        <v>0</v>
      </c>
      <c r="C89">
        <v>0</v>
      </c>
      <c r="D89">
        <v>0</v>
      </c>
      <c r="E89">
        <v>11</v>
      </c>
      <c r="F89">
        <v>0</v>
      </c>
      <c r="G89">
        <v>98</v>
      </c>
      <c r="H89">
        <v>1235</v>
      </c>
      <c r="I89">
        <v>8</v>
      </c>
      <c r="J89">
        <v>0</v>
      </c>
      <c r="K89">
        <v>0</v>
      </c>
      <c r="L89">
        <v>1</v>
      </c>
      <c r="N89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178.6</v>
      </c>
    </row>
    <row r="90" spans="1:14" x14ac:dyDescent="0.2">
      <c r="A90" t="s">
        <v>369</v>
      </c>
      <c r="B90">
        <v>0</v>
      </c>
      <c r="C90">
        <v>0</v>
      </c>
      <c r="D90">
        <v>0</v>
      </c>
      <c r="E90">
        <v>35</v>
      </c>
      <c r="F90">
        <v>0</v>
      </c>
      <c r="G90">
        <v>89</v>
      </c>
      <c r="H90">
        <v>1194</v>
      </c>
      <c r="I90">
        <v>8</v>
      </c>
      <c r="J90">
        <v>0</v>
      </c>
      <c r="K90">
        <v>0</v>
      </c>
      <c r="L90">
        <v>1</v>
      </c>
      <c r="N90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176.9</v>
      </c>
    </row>
    <row r="91" spans="1:14" x14ac:dyDescent="0.2">
      <c r="A91" t="s">
        <v>370</v>
      </c>
      <c r="B91">
        <v>0</v>
      </c>
      <c r="C91">
        <v>0</v>
      </c>
      <c r="D91">
        <v>0</v>
      </c>
      <c r="E91">
        <v>0</v>
      </c>
      <c r="F91">
        <v>0</v>
      </c>
      <c r="G91">
        <v>86</v>
      </c>
      <c r="H91">
        <v>1270</v>
      </c>
      <c r="I91">
        <v>7</v>
      </c>
      <c r="J91">
        <v>0</v>
      </c>
      <c r="K91">
        <v>0</v>
      </c>
      <c r="L91">
        <v>1</v>
      </c>
      <c r="N91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175</v>
      </c>
    </row>
    <row r="92" spans="1:14" x14ac:dyDescent="0.2">
      <c r="A92" t="s">
        <v>371</v>
      </c>
      <c r="B92">
        <v>0</v>
      </c>
      <c r="C92">
        <v>0</v>
      </c>
      <c r="D92">
        <v>0</v>
      </c>
      <c r="E92">
        <v>7</v>
      </c>
      <c r="F92">
        <v>0</v>
      </c>
      <c r="G92">
        <v>88</v>
      </c>
      <c r="H92">
        <v>1114</v>
      </c>
      <c r="I92">
        <v>7</v>
      </c>
      <c r="J92">
        <v>0</v>
      </c>
      <c r="K92">
        <v>0</v>
      </c>
      <c r="L92">
        <v>1</v>
      </c>
      <c r="N92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160.10000000000002</v>
      </c>
    </row>
    <row r="93" spans="1:14" x14ac:dyDescent="0.2">
      <c r="A93" t="s">
        <v>372</v>
      </c>
      <c r="B93">
        <v>0</v>
      </c>
      <c r="C93">
        <v>0</v>
      </c>
      <c r="D93">
        <v>0</v>
      </c>
      <c r="E93">
        <v>37</v>
      </c>
      <c r="F93">
        <v>0</v>
      </c>
      <c r="G93">
        <v>89</v>
      </c>
      <c r="H93">
        <v>1115</v>
      </c>
      <c r="I93">
        <v>6</v>
      </c>
      <c r="J93">
        <v>0</v>
      </c>
      <c r="K93">
        <v>0</v>
      </c>
      <c r="L93">
        <v>1</v>
      </c>
      <c r="N93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157.19999999999999</v>
      </c>
    </row>
    <row r="94" spans="1:14" x14ac:dyDescent="0.2">
      <c r="A94" t="s">
        <v>373</v>
      </c>
      <c r="B94">
        <v>0</v>
      </c>
      <c r="C94">
        <v>0</v>
      </c>
      <c r="D94">
        <v>0</v>
      </c>
      <c r="E94">
        <v>6</v>
      </c>
      <c r="F94">
        <v>0</v>
      </c>
      <c r="G94">
        <v>80</v>
      </c>
      <c r="H94">
        <v>1141</v>
      </c>
      <c r="I94">
        <v>7</v>
      </c>
      <c r="J94">
        <v>0</v>
      </c>
      <c r="K94">
        <v>0</v>
      </c>
      <c r="L94">
        <v>1</v>
      </c>
      <c r="N94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162.69999999999999</v>
      </c>
    </row>
    <row r="95" spans="1:14" x14ac:dyDescent="0.2">
      <c r="A95" t="s">
        <v>374</v>
      </c>
      <c r="B95">
        <v>0</v>
      </c>
      <c r="C95">
        <v>0</v>
      </c>
      <c r="D95">
        <v>0</v>
      </c>
      <c r="E95">
        <v>0</v>
      </c>
      <c r="F95">
        <v>0</v>
      </c>
      <c r="G95">
        <v>82</v>
      </c>
      <c r="H95">
        <v>1057</v>
      </c>
      <c r="I95">
        <v>8</v>
      </c>
      <c r="J95">
        <v>0</v>
      </c>
      <c r="K95">
        <v>0</v>
      </c>
      <c r="L95">
        <v>1</v>
      </c>
      <c r="N95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159.69999999999999</v>
      </c>
    </row>
    <row r="96" spans="1:14" x14ac:dyDescent="0.2">
      <c r="A96" t="s">
        <v>488</v>
      </c>
      <c r="B96">
        <v>0</v>
      </c>
      <c r="C96">
        <v>0</v>
      </c>
      <c r="D96">
        <v>0</v>
      </c>
      <c r="E96">
        <v>16</v>
      </c>
      <c r="F96">
        <v>0</v>
      </c>
      <c r="G96">
        <v>80</v>
      </c>
      <c r="H96">
        <v>1112</v>
      </c>
      <c r="I96">
        <v>7</v>
      </c>
      <c r="J96">
        <v>0</v>
      </c>
      <c r="K96">
        <v>0</v>
      </c>
      <c r="L96">
        <v>1</v>
      </c>
      <c r="N96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160.80000000000001</v>
      </c>
    </row>
    <row r="97" spans="1:14" x14ac:dyDescent="0.2">
      <c r="A97" t="s">
        <v>375</v>
      </c>
      <c r="B97">
        <v>0</v>
      </c>
      <c r="C97">
        <v>0</v>
      </c>
      <c r="D97">
        <v>0</v>
      </c>
      <c r="E97">
        <v>0</v>
      </c>
      <c r="F97">
        <v>0</v>
      </c>
      <c r="G97">
        <v>82</v>
      </c>
      <c r="H97">
        <v>1040</v>
      </c>
      <c r="I97">
        <v>8</v>
      </c>
      <c r="J97">
        <v>0</v>
      </c>
      <c r="K97">
        <v>0</v>
      </c>
      <c r="L97">
        <v>1</v>
      </c>
      <c r="N97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158</v>
      </c>
    </row>
    <row r="98" spans="1:14" x14ac:dyDescent="0.2">
      <c r="A98" t="s">
        <v>376</v>
      </c>
      <c r="B98">
        <v>0</v>
      </c>
      <c r="C98">
        <v>0</v>
      </c>
      <c r="D98">
        <v>0</v>
      </c>
      <c r="E98">
        <v>6</v>
      </c>
      <c r="F98">
        <v>0</v>
      </c>
      <c r="G98">
        <v>79</v>
      </c>
      <c r="H98">
        <v>1121</v>
      </c>
      <c r="I98">
        <v>7</v>
      </c>
      <c r="J98">
        <v>0</v>
      </c>
      <c r="K98">
        <v>0</v>
      </c>
      <c r="L98">
        <v>1</v>
      </c>
      <c r="N98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160.69999999999999</v>
      </c>
    </row>
    <row r="99" spans="1:14" x14ac:dyDescent="0.2">
      <c r="A99" t="s">
        <v>377</v>
      </c>
      <c r="B99">
        <v>0</v>
      </c>
      <c r="C99">
        <v>0</v>
      </c>
      <c r="D99">
        <v>0</v>
      </c>
      <c r="E99">
        <v>0</v>
      </c>
      <c r="F99">
        <v>0</v>
      </c>
      <c r="G99">
        <v>73</v>
      </c>
      <c r="H99">
        <v>1043</v>
      </c>
      <c r="I99">
        <v>9</v>
      </c>
      <c r="J99">
        <v>0</v>
      </c>
      <c r="K99">
        <v>0</v>
      </c>
      <c r="L99">
        <v>1</v>
      </c>
      <c r="N99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164.3</v>
      </c>
    </row>
    <row r="100" spans="1:14" x14ac:dyDescent="0.2">
      <c r="A100" t="s">
        <v>378</v>
      </c>
      <c r="B100">
        <v>0</v>
      </c>
      <c r="C100">
        <v>0</v>
      </c>
      <c r="D100">
        <v>0</v>
      </c>
      <c r="E100">
        <v>28</v>
      </c>
      <c r="F100">
        <v>0</v>
      </c>
      <c r="G100">
        <v>83</v>
      </c>
      <c r="H100">
        <v>1032</v>
      </c>
      <c r="I100">
        <v>7</v>
      </c>
      <c r="J100">
        <v>0</v>
      </c>
      <c r="K100">
        <v>0</v>
      </c>
      <c r="L100">
        <v>1</v>
      </c>
      <c r="N100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154</v>
      </c>
    </row>
    <row r="101" spans="1:14" x14ac:dyDescent="0.2">
      <c r="A101" t="s">
        <v>379</v>
      </c>
      <c r="B101">
        <v>0</v>
      </c>
      <c r="C101">
        <v>0</v>
      </c>
      <c r="D101">
        <v>0</v>
      </c>
      <c r="E101">
        <v>43</v>
      </c>
      <c r="F101">
        <v>0</v>
      </c>
      <c r="G101">
        <v>87</v>
      </c>
      <c r="H101">
        <v>1007</v>
      </c>
      <c r="I101">
        <v>6</v>
      </c>
      <c r="J101">
        <v>0</v>
      </c>
      <c r="K101">
        <v>0</v>
      </c>
      <c r="L101">
        <v>1</v>
      </c>
      <c r="N101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147</v>
      </c>
    </row>
    <row r="102" spans="1:14" x14ac:dyDescent="0.2">
      <c r="A102" t="s">
        <v>380</v>
      </c>
      <c r="B102">
        <v>0</v>
      </c>
      <c r="C102">
        <v>0</v>
      </c>
      <c r="D102">
        <v>0</v>
      </c>
      <c r="E102">
        <v>67</v>
      </c>
      <c r="F102">
        <v>1</v>
      </c>
      <c r="G102">
        <v>68</v>
      </c>
      <c r="H102">
        <v>1013</v>
      </c>
      <c r="I102">
        <v>7</v>
      </c>
      <c r="J102">
        <v>0</v>
      </c>
      <c r="K102">
        <v>0</v>
      </c>
      <c r="L102">
        <v>1</v>
      </c>
      <c r="N102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162</v>
      </c>
    </row>
    <row r="103" spans="1:14" x14ac:dyDescent="0.2">
      <c r="A103" t="s">
        <v>381</v>
      </c>
      <c r="B103">
        <v>0</v>
      </c>
      <c r="C103">
        <v>0</v>
      </c>
      <c r="D103">
        <v>0</v>
      </c>
      <c r="E103">
        <v>46</v>
      </c>
      <c r="F103">
        <v>0</v>
      </c>
      <c r="G103">
        <v>80</v>
      </c>
      <c r="H103">
        <v>979</v>
      </c>
      <c r="I103">
        <v>6</v>
      </c>
      <c r="J103">
        <v>0</v>
      </c>
      <c r="K103">
        <v>0</v>
      </c>
      <c r="L103">
        <v>1</v>
      </c>
      <c r="N103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144.5</v>
      </c>
    </row>
    <row r="104" spans="1:14" x14ac:dyDescent="0.2">
      <c r="A104" t="s">
        <v>382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75</v>
      </c>
      <c r="H104">
        <v>1003</v>
      </c>
      <c r="I104">
        <v>7</v>
      </c>
      <c r="J104">
        <v>0</v>
      </c>
      <c r="K104">
        <v>0</v>
      </c>
      <c r="L104">
        <v>1</v>
      </c>
      <c r="N104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148.30000000000001</v>
      </c>
    </row>
    <row r="105" spans="1:14" x14ac:dyDescent="0.2">
      <c r="A105" t="s">
        <v>383</v>
      </c>
      <c r="B105">
        <v>0</v>
      </c>
      <c r="C105">
        <v>0</v>
      </c>
      <c r="D105">
        <v>0</v>
      </c>
      <c r="E105">
        <v>16</v>
      </c>
      <c r="F105">
        <v>0</v>
      </c>
      <c r="G105">
        <v>70</v>
      </c>
      <c r="H105">
        <v>1023</v>
      </c>
      <c r="I105">
        <v>7</v>
      </c>
      <c r="J105">
        <v>0</v>
      </c>
      <c r="K105">
        <v>0</v>
      </c>
      <c r="L105">
        <v>1</v>
      </c>
      <c r="N105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151.9</v>
      </c>
    </row>
    <row r="106" spans="1:14" x14ac:dyDescent="0.2">
      <c r="A106" t="s">
        <v>384</v>
      </c>
      <c r="B106">
        <v>0</v>
      </c>
      <c r="C106">
        <v>0</v>
      </c>
      <c r="D106">
        <v>0</v>
      </c>
      <c r="E106">
        <v>18</v>
      </c>
      <c r="F106">
        <v>0</v>
      </c>
      <c r="G106">
        <v>80</v>
      </c>
      <c r="H106">
        <v>1039</v>
      </c>
      <c r="I106">
        <v>5</v>
      </c>
      <c r="J106">
        <v>0</v>
      </c>
      <c r="K106">
        <v>0</v>
      </c>
      <c r="L106">
        <v>1</v>
      </c>
      <c r="N106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141.69999999999999</v>
      </c>
    </row>
    <row r="107" spans="1:14" x14ac:dyDescent="0.2">
      <c r="A107" t="s">
        <v>385</v>
      </c>
      <c r="B107">
        <v>0</v>
      </c>
      <c r="C107">
        <v>0</v>
      </c>
      <c r="D107">
        <v>0</v>
      </c>
      <c r="E107">
        <v>33</v>
      </c>
      <c r="F107">
        <v>0</v>
      </c>
      <c r="G107">
        <v>73</v>
      </c>
      <c r="H107">
        <v>1031</v>
      </c>
      <c r="I107">
        <v>6</v>
      </c>
      <c r="J107">
        <v>0</v>
      </c>
      <c r="K107">
        <v>0</v>
      </c>
      <c r="L107">
        <v>1</v>
      </c>
      <c r="N107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148.4</v>
      </c>
    </row>
    <row r="108" spans="1:14" x14ac:dyDescent="0.2">
      <c r="A108" t="s">
        <v>386</v>
      </c>
      <c r="B108">
        <v>0</v>
      </c>
      <c r="C108">
        <v>0</v>
      </c>
      <c r="D108">
        <v>0</v>
      </c>
      <c r="E108">
        <v>5</v>
      </c>
      <c r="F108">
        <v>0</v>
      </c>
      <c r="G108">
        <v>81</v>
      </c>
      <c r="H108">
        <v>955</v>
      </c>
      <c r="I108">
        <v>6</v>
      </c>
      <c r="J108">
        <v>0</v>
      </c>
      <c r="K108">
        <v>0</v>
      </c>
      <c r="L108">
        <v>1</v>
      </c>
      <c r="N108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138</v>
      </c>
    </row>
    <row r="109" spans="1:14" x14ac:dyDescent="0.2">
      <c r="A109" t="s">
        <v>387</v>
      </c>
      <c r="B109">
        <v>0</v>
      </c>
      <c r="C109">
        <v>0</v>
      </c>
      <c r="D109">
        <v>0</v>
      </c>
      <c r="E109">
        <v>23</v>
      </c>
      <c r="F109">
        <v>0</v>
      </c>
      <c r="G109">
        <v>74</v>
      </c>
      <c r="H109">
        <v>970</v>
      </c>
      <c r="I109">
        <v>6</v>
      </c>
      <c r="J109">
        <v>0</v>
      </c>
      <c r="K109">
        <v>0</v>
      </c>
      <c r="L109">
        <v>1</v>
      </c>
      <c r="N109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141.30000000000001</v>
      </c>
    </row>
    <row r="110" spans="1:14" x14ac:dyDescent="0.2">
      <c r="A110" t="s">
        <v>388</v>
      </c>
      <c r="B110">
        <v>0</v>
      </c>
      <c r="C110">
        <v>0</v>
      </c>
      <c r="D110">
        <v>0</v>
      </c>
      <c r="E110">
        <v>92</v>
      </c>
      <c r="F110">
        <v>1</v>
      </c>
      <c r="G110">
        <v>68</v>
      </c>
      <c r="H110">
        <v>840</v>
      </c>
      <c r="I110">
        <v>7</v>
      </c>
      <c r="J110">
        <v>0</v>
      </c>
      <c r="K110">
        <v>0</v>
      </c>
      <c r="L110">
        <v>1</v>
      </c>
      <c r="N110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147.19999999999999</v>
      </c>
    </row>
    <row r="111" spans="1:14" x14ac:dyDescent="0.2">
      <c r="A111" t="s">
        <v>389</v>
      </c>
      <c r="B111">
        <v>0</v>
      </c>
      <c r="C111">
        <v>0</v>
      </c>
      <c r="D111">
        <v>0</v>
      </c>
      <c r="E111">
        <v>5</v>
      </c>
      <c r="F111">
        <v>0</v>
      </c>
      <c r="G111">
        <v>77</v>
      </c>
      <c r="H111">
        <v>997</v>
      </c>
      <c r="I111">
        <v>5</v>
      </c>
      <c r="J111">
        <v>0</v>
      </c>
      <c r="K111">
        <v>0</v>
      </c>
      <c r="L111">
        <v>1</v>
      </c>
      <c r="N111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136.19999999999999</v>
      </c>
    </row>
    <row r="112" spans="1:14" x14ac:dyDescent="0.2">
      <c r="A112" t="s">
        <v>390</v>
      </c>
      <c r="B112">
        <v>0</v>
      </c>
      <c r="C112">
        <v>0</v>
      </c>
      <c r="D112">
        <v>0</v>
      </c>
      <c r="E112">
        <v>120</v>
      </c>
      <c r="F112">
        <v>1</v>
      </c>
      <c r="G112">
        <v>67</v>
      </c>
      <c r="H112">
        <v>856</v>
      </c>
      <c r="I112">
        <v>5</v>
      </c>
      <c r="J112">
        <v>0</v>
      </c>
      <c r="K112">
        <v>0</v>
      </c>
      <c r="L112">
        <v>1</v>
      </c>
      <c r="N112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139.60000000000002</v>
      </c>
    </row>
    <row r="113" spans="1:14" x14ac:dyDescent="0.2">
      <c r="A113" t="s">
        <v>391</v>
      </c>
      <c r="B113">
        <v>0</v>
      </c>
      <c r="C113">
        <v>0</v>
      </c>
      <c r="D113">
        <v>0</v>
      </c>
      <c r="E113">
        <v>33</v>
      </c>
      <c r="F113">
        <v>0</v>
      </c>
      <c r="G113">
        <v>67</v>
      </c>
      <c r="H113">
        <v>910</v>
      </c>
      <c r="I113">
        <v>6</v>
      </c>
      <c r="J113">
        <v>0</v>
      </c>
      <c r="K113">
        <v>0</v>
      </c>
      <c r="L113">
        <v>0</v>
      </c>
      <c r="N113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130.30000000000001</v>
      </c>
    </row>
    <row r="114" spans="1:14" x14ac:dyDescent="0.2">
      <c r="A114" t="s">
        <v>392</v>
      </c>
      <c r="B114">
        <v>0</v>
      </c>
      <c r="C114">
        <v>0</v>
      </c>
      <c r="D114">
        <v>0</v>
      </c>
      <c r="E114">
        <v>11</v>
      </c>
      <c r="F114">
        <v>0</v>
      </c>
      <c r="G114">
        <v>73</v>
      </c>
      <c r="H114">
        <v>831</v>
      </c>
      <c r="I114">
        <v>7</v>
      </c>
      <c r="J114">
        <v>0</v>
      </c>
      <c r="K114">
        <v>0</v>
      </c>
      <c r="L114">
        <v>1</v>
      </c>
      <c r="N114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132.19999999999999</v>
      </c>
    </row>
    <row r="115" spans="1:14" x14ac:dyDescent="0.2">
      <c r="A115" t="s">
        <v>393</v>
      </c>
      <c r="B115">
        <v>0</v>
      </c>
      <c r="C115">
        <v>0</v>
      </c>
      <c r="D115">
        <v>0</v>
      </c>
      <c r="E115">
        <v>28</v>
      </c>
      <c r="F115">
        <v>0</v>
      </c>
      <c r="G115">
        <v>67</v>
      </c>
      <c r="H115">
        <v>899</v>
      </c>
      <c r="I115">
        <v>6</v>
      </c>
      <c r="J115">
        <v>0</v>
      </c>
      <c r="K115">
        <v>0</v>
      </c>
      <c r="L115">
        <v>0</v>
      </c>
      <c r="N115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128.69999999999999</v>
      </c>
    </row>
    <row r="116" spans="1:14" x14ac:dyDescent="0.2">
      <c r="A116" t="s">
        <v>394</v>
      </c>
      <c r="B116">
        <v>0</v>
      </c>
      <c r="C116">
        <v>0</v>
      </c>
      <c r="D116">
        <v>0</v>
      </c>
      <c r="E116">
        <v>43</v>
      </c>
      <c r="F116">
        <v>0</v>
      </c>
      <c r="G116">
        <v>70</v>
      </c>
      <c r="H116">
        <v>919</v>
      </c>
      <c r="I116">
        <v>5</v>
      </c>
      <c r="J116">
        <v>0</v>
      </c>
      <c r="K116">
        <v>0</v>
      </c>
      <c r="L116">
        <v>1</v>
      </c>
      <c r="N116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132.19999999999999</v>
      </c>
    </row>
    <row r="117" spans="1:14" x14ac:dyDescent="0.2">
      <c r="A117" t="s">
        <v>395</v>
      </c>
      <c r="B117">
        <v>0</v>
      </c>
      <c r="C117">
        <v>0</v>
      </c>
      <c r="D117">
        <v>0</v>
      </c>
      <c r="E117">
        <v>17</v>
      </c>
      <c r="F117">
        <v>0</v>
      </c>
      <c r="G117">
        <v>70</v>
      </c>
      <c r="H117">
        <v>875</v>
      </c>
      <c r="I117">
        <v>6</v>
      </c>
      <c r="J117">
        <v>0</v>
      </c>
      <c r="K117">
        <v>0</v>
      </c>
      <c r="L117">
        <v>1</v>
      </c>
      <c r="N117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131.19999999999999</v>
      </c>
    </row>
    <row r="118" spans="1:14" x14ac:dyDescent="0.2">
      <c r="A118" t="s">
        <v>489</v>
      </c>
      <c r="B118">
        <v>0</v>
      </c>
      <c r="C118">
        <v>0</v>
      </c>
      <c r="D118">
        <v>0</v>
      </c>
      <c r="E118">
        <v>10</v>
      </c>
      <c r="F118">
        <v>0</v>
      </c>
      <c r="G118">
        <v>67</v>
      </c>
      <c r="H118">
        <v>901</v>
      </c>
      <c r="I118">
        <v>6</v>
      </c>
      <c r="J118">
        <v>0</v>
      </c>
      <c r="K118">
        <v>0</v>
      </c>
      <c r="L118">
        <v>1</v>
      </c>
      <c r="N118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133.10000000000002</v>
      </c>
    </row>
    <row r="119" spans="1:14" x14ac:dyDescent="0.2">
      <c r="A119" t="s">
        <v>396</v>
      </c>
      <c r="B119">
        <v>0</v>
      </c>
      <c r="C119">
        <v>0</v>
      </c>
      <c r="D119">
        <v>0</v>
      </c>
      <c r="E119">
        <v>58</v>
      </c>
      <c r="F119">
        <v>0</v>
      </c>
      <c r="G119">
        <v>65</v>
      </c>
      <c r="H119">
        <v>861</v>
      </c>
      <c r="I119">
        <v>6</v>
      </c>
      <c r="J119">
        <v>0</v>
      </c>
      <c r="K119">
        <v>0</v>
      </c>
      <c r="L119">
        <v>1</v>
      </c>
      <c r="N119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133.9</v>
      </c>
    </row>
    <row r="120" spans="1:14" x14ac:dyDescent="0.2">
      <c r="A120" t="s">
        <v>397</v>
      </c>
      <c r="B120">
        <v>0</v>
      </c>
      <c r="C120">
        <v>0</v>
      </c>
      <c r="D120">
        <v>0</v>
      </c>
      <c r="E120">
        <v>11</v>
      </c>
      <c r="F120">
        <v>0</v>
      </c>
      <c r="G120">
        <v>70</v>
      </c>
      <c r="H120">
        <v>785</v>
      </c>
      <c r="I120">
        <v>6</v>
      </c>
      <c r="J120">
        <v>0</v>
      </c>
      <c r="K120">
        <v>0</v>
      </c>
      <c r="L120">
        <v>1</v>
      </c>
      <c r="N120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121.6</v>
      </c>
    </row>
    <row r="121" spans="1:14" x14ac:dyDescent="0.2">
      <c r="A121" t="s">
        <v>398</v>
      </c>
      <c r="B121">
        <v>14</v>
      </c>
      <c r="C121">
        <v>0</v>
      </c>
      <c r="D121">
        <v>0</v>
      </c>
      <c r="E121">
        <v>11</v>
      </c>
      <c r="F121">
        <v>0</v>
      </c>
      <c r="G121">
        <v>73</v>
      </c>
      <c r="H121">
        <v>840</v>
      </c>
      <c r="I121">
        <v>4</v>
      </c>
      <c r="J121">
        <v>0</v>
      </c>
      <c r="K121">
        <v>0</v>
      </c>
      <c r="L121">
        <v>1</v>
      </c>
      <c r="N121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115.66</v>
      </c>
    </row>
    <row r="122" spans="1:14" x14ac:dyDescent="0.2">
      <c r="A122" t="s">
        <v>399</v>
      </c>
      <c r="B122">
        <v>0</v>
      </c>
      <c r="C122">
        <v>0</v>
      </c>
      <c r="D122">
        <v>0</v>
      </c>
      <c r="E122">
        <v>6</v>
      </c>
      <c r="F122">
        <v>0</v>
      </c>
      <c r="G122">
        <v>61</v>
      </c>
      <c r="H122">
        <v>831</v>
      </c>
      <c r="I122">
        <v>6</v>
      </c>
      <c r="J122">
        <v>0</v>
      </c>
      <c r="K122">
        <v>0</v>
      </c>
      <c r="L122">
        <v>1</v>
      </c>
      <c r="N122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125.7</v>
      </c>
    </row>
    <row r="123" spans="1:14" x14ac:dyDescent="0.2">
      <c r="A123" t="s">
        <v>400</v>
      </c>
      <c r="B123">
        <v>0</v>
      </c>
      <c r="C123">
        <v>0</v>
      </c>
      <c r="D123">
        <v>0</v>
      </c>
      <c r="E123">
        <v>42</v>
      </c>
      <c r="F123">
        <v>0</v>
      </c>
      <c r="G123">
        <v>55</v>
      </c>
      <c r="H123">
        <v>802</v>
      </c>
      <c r="I123">
        <v>5</v>
      </c>
      <c r="J123">
        <v>0</v>
      </c>
      <c r="K123">
        <v>0</v>
      </c>
      <c r="L123">
        <v>1</v>
      </c>
      <c r="N123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120.4</v>
      </c>
    </row>
    <row r="124" spans="1:14" x14ac:dyDescent="0.2">
      <c r="A124" t="s">
        <v>401</v>
      </c>
      <c r="B124">
        <v>0</v>
      </c>
      <c r="C124">
        <v>0</v>
      </c>
      <c r="D124">
        <v>0</v>
      </c>
      <c r="E124">
        <v>11</v>
      </c>
      <c r="F124">
        <v>0</v>
      </c>
      <c r="G124">
        <v>72</v>
      </c>
      <c r="H124">
        <v>775</v>
      </c>
      <c r="I124">
        <v>4</v>
      </c>
      <c r="J124">
        <v>0</v>
      </c>
      <c r="K124">
        <v>0</v>
      </c>
      <c r="L124">
        <v>1</v>
      </c>
      <c r="N124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108.6</v>
      </c>
    </row>
    <row r="125" spans="1:14" x14ac:dyDescent="0.2">
      <c r="A125" t="s">
        <v>402</v>
      </c>
      <c r="B125">
        <v>0</v>
      </c>
      <c r="C125">
        <v>0</v>
      </c>
      <c r="D125">
        <v>0</v>
      </c>
      <c r="E125">
        <v>5</v>
      </c>
      <c r="F125">
        <v>0</v>
      </c>
      <c r="G125">
        <v>68</v>
      </c>
      <c r="H125">
        <v>785</v>
      </c>
      <c r="I125">
        <v>4</v>
      </c>
      <c r="J125">
        <v>0</v>
      </c>
      <c r="K125">
        <v>0</v>
      </c>
      <c r="L125">
        <v>1</v>
      </c>
      <c r="N125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109</v>
      </c>
    </row>
    <row r="126" spans="1:14" x14ac:dyDescent="0.2">
      <c r="A126" t="s">
        <v>403</v>
      </c>
      <c r="B126">
        <v>0</v>
      </c>
      <c r="C126">
        <v>0</v>
      </c>
      <c r="D126">
        <v>0</v>
      </c>
      <c r="E126">
        <v>16</v>
      </c>
      <c r="F126">
        <v>0</v>
      </c>
      <c r="G126">
        <v>67</v>
      </c>
      <c r="H126">
        <v>719</v>
      </c>
      <c r="I126">
        <v>5</v>
      </c>
      <c r="J126">
        <v>0</v>
      </c>
      <c r="K126">
        <v>0</v>
      </c>
      <c r="L126">
        <v>1</v>
      </c>
      <c r="N126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109.5</v>
      </c>
    </row>
    <row r="127" spans="1:14" x14ac:dyDescent="0.2">
      <c r="A127" t="s">
        <v>404</v>
      </c>
      <c r="B127">
        <v>0</v>
      </c>
      <c r="C127">
        <v>0</v>
      </c>
      <c r="D127">
        <v>0</v>
      </c>
      <c r="E127">
        <v>9</v>
      </c>
      <c r="F127">
        <v>0</v>
      </c>
      <c r="G127">
        <v>63</v>
      </c>
      <c r="H127">
        <v>734</v>
      </c>
      <c r="I127">
        <v>5</v>
      </c>
      <c r="J127">
        <v>0</v>
      </c>
      <c r="K127">
        <v>0</v>
      </c>
      <c r="L127">
        <v>1</v>
      </c>
      <c r="N127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110.30000000000001</v>
      </c>
    </row>
    <row r="128" spans="1:14" x14ac:dyDescent="0.2">
      <c r="A128" t="s">
        <v>405</v>
      </c>
      <c r="B128">
        <v>0</v>
      </c>
      <c r="C128">
        <v>0</v>
      </c>
      <c r="D128">
        <v>0</v>
      </c>
      <c r="E128">
        <v>17</v>
      </c>
      <c r="F128">
        <v>0</v>
      </c>
      <c r="G128">
        <v>65</v>
      </c>
      <c r="H128">
        <v>759</v>
      </c>
      <c r="I128">
        <v>4</v>
      </c>
      <c r="J128">
        <v>0</v>
      </c>
      <c r="K128">
        <v>0</v>
      </c>
      <c r="L128">
        <v>1</v>
      </c>
      <c r="N128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107.60000000000001</v>
      </c>
    </row>
    <row r="129" spans="1:14" x14ac:dyDescent="0.2">
      <c r="A129" t="s">
        <v>406</v>
      </c>
      <c r="B129">
        <v>0</v>
      </c>
      <c r="C129">
        <v>0</v>
      </c>
      <c r="D129">
        <v>0</v>
      </c>
      <c r="E129">
        <v>48</v>
      </c>
      <c r="F129">
        <v>0</v>
      </c>
      <c r="G129">
        <v>55</v>
      </c>
      <c r="H129">
        <v>682</v>
      </c>
      <c r="I129">
        <v>5</v>
      </c>
      <c r="J129">
        <v>0</v>
      </c>
      <c r="K129">
        <v>0</v>
      </c>
      <c r="L129">
        <v>1</v>
      </c>
      <c r="N129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109</v>
      </c>
    </row>
    <row r="130" spans="1:14" x14ac:dyDescent="0.2">
      <c r="A130" t="s">
        <v>407</v>
      </c>
      <c r="B130">
        <v>0</v>
      </c>
      <c r="C130">
        <v>0</v>
      </c>
      <c r="D130">
        <v>0</v>
      </c>
      <c r="E130">
        <v>5</v>
      </c>
      <c r="F130">
        <v>0</v>
      </c>
      <c r="G130">
        <v>59</v>
      </c>
      <c r="H130">
        <v>744</v>
      </c>
      <c r="I130">
        <v>5</v>
      </c>
      <c r="J130">
        <v>0</v>
      </c>
      <c r="K130">
        <v>0</v>
      </c>
      <c r="L130">
        <v>1</v>
      </c>
      <c r="N130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110.9</v>
      </c>
    </row>
    <row r="132" spans="1:14" x14ac:dyDescent="0.2">
      <c r="A132" s="7" t="s">
        <v>43</v>
      </c>
      <c r="B132" s="7" t="s">
        <v>476</v>
      </c>
      <c r="C132" s="7" t="s">
        <v>477</v>
      </c>
      <c r="D132" s="7" t="s">
        <v>478</v>
      </c>
      <c r="E132" s="7" t="s">
        <v>502</v>
      </c>
      <c r="F132" s="7" t="s">
        <v>479</v>
      </c>
      <c r="G132" s="7" t="s">
        <v>525</v>
      </c>
      <c r="H132" s="7" t="s">
        <v>480</v>
      </c>
      <c r="I132" s="7" t="s">
        <v>481</v>
      </c>
      <c r="J132" s="7" t="s">
        <v>313</v>
      </c>
      <c r="K132" s="7" t="s">
        <v>314</v>
      </c>
      <c r="L132" s="7" t="s">
        <v>503</v>
      </c>
      <c r="M132" s="7" t="s">
        <v>519</v>
      </c>
      <c r="N132" s="7" t="s">
        <v>475</v>
      </c>
    </row>
    <row r="133" spans="1:14" x14ac:dyDescent="0.2">
      <c r="A133" t="s">
        <v>408</v>
      </c>
      <c r="B133">
        <v>0</v>
      </c>
      <c r="C133">
        <v>0</v>
      </c>
      <c r="D133">
        <v>0</v>
      </c>
      <c r="E133">
        <v>16</v>
      </c>
      <c r="F133">
        <v>0</v>
      </c>
      <c r="G133">
        <v>101</v>
      </c>
      <c r="H133">
        <v>1042</v>
      </c>
      <c r="I133">
        <v>7</v>
      </c>
      <c r="J133">
        <v>0</v>
      </c>
      <c r="K133">
        <v>0</v>
      </c>
      <c r="L133">
        <v>1</v>
      </c>
      <c r="N133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153.80000000000001</v>
      </c>
    </row>
    <row r="134" spans="1:14" x14ac:dyDescent="0.2">
      <c r="A134" t="s">
        <v>409</v>
      </c>
      <c r="B134">
        <v>0</v>
      </c>
      <c r="C134">
        <v>0</v>
      </c>
      <c r="D134">
        <v>0</v>
      </c>
      <c r="E134">
        <v>3</v>
      </c>
      <c r="F134">
        <v>0</v>
      </c>
      <c r="G134">
        <v>102</v>
      </c>
      <c r="H134">
        <v>1031</v>
      </c>
      <c r="I134">
        <v>7</v>
      </c>
      <c r="J134">
        <v>0</v>
      </c>
      <c r="K134">
        <v>0</v>
      </c>
      <c r="L134">
        <v>1</v>
      </c>
      <c r="N134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151.4</v>
      </c>
    </row>
    <row r="135" spans="1:14" x14ac:dyDescent="0.2">
      <c r="A135" t="s">
        <v>410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70</v>
      </c>
      <c r="H135">
        <v>970</v>
      </c>
      <c r="I135">
        <v>7</v>
      </c>
      <c r="J135">
        <v>0</v>
      </c>
      <c r="K135">
        <v>0</v>
      </c>
      <c r="L135">
        <v>1</v>
      </c>
      <c r="N135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145</v>
      </c>
    </row>
    <row r="136" spans="1:14" x14ac:dyDescent="0.2">
      <c r="A136" t="s">
        <v>411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71</v>
      </c>
      <c r="H136">
        <v>774</v>
      </c>
      <c r="I136">
        <v>6</v>
      </c>
      <c r="J136">
        <v>0</v>
      </c>
      <c r="K136">
        <v>0</v>
      </c>
      <c r="L136">
        <v>1</v>
      </c>
      <c r="N136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119.4</v>
      </c>
    </row>
    <row r="137" spans="1:14" x14ac:dyDescent="0.2">
      <c r="A137" t="s">
        <v>412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74</v>
      </c>
      <c r="H137">
        <v>760</v>
      </c>
      <c r="I137">
        <v>5</v>
      </c>
      <c r="J137">
        <v>0</v>
      </c>
      <c r="K137">
        <v>0</v>
      </c>
      <c r="L137">
        <v>1</v>
      </c>
      <c r="N137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112</v>
      </c>
    </row>
    <row r="138" spans="1:14" x14ac:dyDescent="0.2">
      <c r="A138" t="s">
        <v>413</v>
      </c>
      <c r="B138">
        <v>0</v>
      </c>
      <c r="C138">
        <v>0</v>
      </c>
      <c r="D138">
        <v>0</v>
      </c>
      <c r="E138">
        <v>1</v>
      </c>
      <c r="F138">
        <v>0</v>
      </c>
      <c r="G138">
        <v>74</v>
      </c>
      <c r="H138">
        <v>728</v>
      </c>
      <c r="I138">
        <v>5</v>
      </c>
      <c r="J138">
        <v>0</v>
      </c>
      <c r="K138">
        <v>0</v>
      </c>
      <c r="L138">
        <v>1</v>
      </c>
      <c r="N138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108.89999999999999</v>
      </c>
    </row>
    <row r="139" spans="1:14" x14ac:dyDescent="0.2">
      <c r="A139" t="s">
        <v>414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72</v>
      </c>
      <c r="H139">
        <v>691</v>
      </c>
      <c r="I139">
        <v>5</v>
      </c>
      <c r="J139">
        <v>0</v>
      </c>
      <c r="K139">
        <v>0</v>
      </c>
      <c r="L139">
        <v>1</v>
      </c>
      <c r="N139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105.10000000000001</v>
      </c>
    </row>
    <row r="140" spans="1:14" x14ac:dyDescent="0.2">
      <c r="A140" t="s">
        <v>415</v>
      </c>
      <c r="B140">
        <v>0</v>
      </c>
      <c r="C140">
        <v>0</v>
      </c>
      <c r="D140">
        <v>0</v>
      </c>
      <c r="E140">
        <v>4</v>
      </c>
      <c r="F140">
        <v>0</v>
      </c>
      <c r="G140">
        <v>55</v>
      </c>
      <c r="H140">
        <v>681</v>
      </c>
      <c r="I140">
        <v>7</v>
      </c>
      <c r="J140">
        <v>0</v>
      </c>
      <c r="K140">
        <v>0</v>
      </c>
      <c r="L140">
        <v>1</v>
      </c>
      <c r="N140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116.50000000000001</v>
      </c>
    </row>
    <row r="141" spans="1:14" x14ac:dyDescent="0.2">
      <c r="A141" t="s">
        <v>490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69</v>
      </c>
      <c r="H141">
        <v>685</v>
      </c>
      <c r="I141">
        <v>4</v>
      </c>
      <c r="J141">
        <v>0</v>
      </c>
      <c r="K141">
        <v>0</v>
      </c>
      <c r="L141">
        <v>1</v>
      </c>
      <c r="N141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98.5</v>
      </c>
    </row>
    <row r="142" spans="1:14" x14ac:dyDescent="0.2">
      <c r="A142" t="s">
        <v>416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62</v>
      </c>
      <c r="H142">
        <v>645</v>
      </c>
      <c r="I142">
        <v>5</v>
      </c>
      <c r="J142">
        <v>0</v>
      </c>
      <c r="K142">
        <v>0</v>
      </c>
      <c r="L142">
        <v>1</v>
      </c>
      <c r="N142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100.5</v>
      </c>
    </row>
    <row r="143" spans="1:14" x14ac:dyDescent="0.2">
      <c r="A143" t="s">
        <v>417</v>
      </c>
      <c r="B143">
        <v>0</v>
      </c>
      <c r="C143">
        <v>0</v>
      </c>
      <c r="D143">
        <v>0</v>
      </c>
      <c r="E143">
        <v>21</v>
      </c>
      <c r="F143">
        <v>0</v>
      </c>
      <c r="G143">
        <v>60</v>
      </c>
      <c r="H143">
        <v>615</v>
      </c>
      <c r="I143">
        <v>5</v>
      </c>
      <c r="J143">
        <v>0</v>
      </c>
      <c r="K143">
        <v>0</v>
      </c>
      <c r="L143">
        <v>1</v>
      </c>
      <c r="N143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99.6</v>
      </c>
    </row>
    <row r="144" spans="1:14" x14ac:dyDescent="0.2">
      <c r="A144" t="s">
        <v>418</v>
      </c>
      <c r="B144">
        <v>0</v>
      </c>
      <c r="C144">
        <v>0</v>
      </c>
      <c r="D144">
        <v>0</v>
      </c>
      <c r="E144">
        <v>4</v>
      </c>
      <c r="F144">
        <v>0</v>
      </c>
      <c r="G144">
        <v>61</v>
      </c>
      <c r="H144">
        <v>648</v>
      </c>
      <c r="I144">
        <v>4</v>
      </c>
      <c r="J144">
        <v>0</v>
      </c>
      <c r="K144">
        <v>0</v>
      </c>
      <c r="L144">
        <v>1</v>
      </c>
      <c r="N144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95.2</v>
      </c>
    </row>
    <row r="145" spans="1:14" x14ac:dyDescent="0.2">
      <c r="A145" t="s">
        <v>419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62</v>
      </c>
      <c r="H145">
        <v>628</v>
      </c>
      <c r="I145">
        <v>4</v>
      </c>
      <c r="J145">
        <v>0</v>
      </c>
      <c r="K145">
        <v>0</v>
      </c>
      <c r="L145">
        <v>1</v>
      </c>
      <c r="N145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92.800000000000011</v>
      </c>
    </row>
    <row r="146" spans="1:14" x14ac:dyDescent="0.2">
      <c r="A146" t="s">
        <v>420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62</v>
      </c>
      <c r="H146">
        <v>612</v>
      </c>
      <c r="I146">
        <v>4</v>
      </c>
      <c r="J146">
        <v>0</v>
      </c>
      <c r="K146">
        <v>0</v>
      </c>
      <c r="L146">
        <v>1</v>
      </c>
      <c r="N146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91.2</v>
      </c>
    </row>
    <row r="147" spans="1:14" x14ac:dyDescent="0.2">
      <c r="A147" t="s">
        <v>421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60</v>
      </c>
      <c r="H147">
        <v>610</v>
      </c>
      <c r="I147">
        <v>4</v>
      </c>
      <c r="J147">
        <v>0</v>
      </c>
      <c r="K147">
        <v>0</v>
      </c>
      <c r="L147">
        <v>1</v>
      </c>
      <c r="N147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91</v>
      </c>
    </row>
    <row r="148" spans="1:14" x14ac:dyDescent="0.2">
      <c r="A148" t="s">
        <v>422</v>
      </c>
      <c r="B148">
        <v>0</v>
      </c>
      <c r="C148">
        <v>0</v>
      </c>
      <c r="D148">
        <v>0</v>
      </c>
      <c r="E148">
        <v>6</v>
      </c>
      <c r="F148">
        <v>0</v>
      </c>
      <c r="G148">
        <v>59</v>
      </c>
      <c r="H148">
        <v>605</v>
      </c>
      <c r="I148">
        <v>4</v>
      </c>
      <c r="J148">
        <v>0</v>
      </c>
      <c r="K148">
        <v>0</v>
      </c>
      <c r="L148">
        <v>1</v>
      </c>
      <c r="N148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91.1</v>
      </c>
    </row>
    <row r="149" spans="1:14" x14ac:dyDescent="0.2">
      <c r="A149" t="s">
        <v>423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50</v>
      </c>
      <c r="H149">
        <v>628</v>
      </c>
      <c r="I149">
        <v>4</v>
      </c>
      <c r="J149">
        <v>0</v>
      </c>
      <c r="K149">
        <v>0</v>
      </c>
      <c r="L149">
        <v>0</v>
      </c>
      <c r="N149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86.800000000000011</v>
      </c>
    </row>
    <row r="150" spans="1:14" x14ac:dyDescent="0.2">
      <c r="A150" t="s">
        <v>424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53</v>
      </c>
      <c r="H150">
        <v>564</v>
      </c>
      <c r="I150">
        <v>4</v>
      </c>
      <c r="J150">
        <v>0</v>
      </c>
      <c r="K150">
        <v>0</v>
      </c>
      <c r="L150">
        <v>1</v>
      </c>
      <c r="N150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86.4</v>
      </c>
    </row>
    <row r="151" spans="1:14" x14ac:dyDescent="0.2">
      <c r="A151" t="s">
        <v>425</v>
      </c>
      <c r="B151">
        <v>0</v>
      </c>
      <c r="C151">
        <v>0</v>
      </c>
      <c r="D151">
        <v>0</v>
      </c>
      <c r="E151">
        <v>3</v>
      </c>
      <c r="F151">
        <v>0</v>
      </c>
      <c r="G151">
        <v>56</v>
      </c>
      <c r="H151">
        <v>570</v>
      </c>
      <c r="I151">
        <v>3</v>
      </c>
      <c r="J151">
        <v>0</v>
      </c>
      <c r="K151">
        <v>0</v>
      </c>
      <c r="L151">
        <v>1</v>
      </c>
      <c r="N151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81.3</v>
      </c>
    </row>
    <row r="152" spans="1:14" x14ac:dyDescent="0.2">
      <c r="A152" t="s">
        <v>426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50</v>
      </c>
      <c r="H152">
        <v>525</v>
      </c>
      <c r="I152">
        <v>4</v>
      </c>
      <c r="J152">
        <v>0</v>
      </c>
      <c r="K152">
        <v>0</v>
      </c>
      <c r="L152">
        <v>0</v>
      </c>
      <c r="N152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76.5</v>
      </c>
    </row>
    <row r="153" spans="1:14" x14ac:dyDescent="0.2">
      <c r="A153" t="s">
        <v>427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54</v>
      </c>
      <c r="H153">
        <v>545</v>
      </c>
      <c r="I153">
        <v>3</v>
      </c>
      <c r="J153">
        <v>0</v>
      </c>
      <c r="K153">
        <v>0</v>
      </c>
      <c r="L153">
        <v>0</v>
      </c>
      <c r="N153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72.5</v>
      </c>
    </row>
    <row r="154" spans="1:14" x14ac:dyDescent="0.2">
      <c r="A154" t="s">
        <v>428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51</v>
      </c>
      <c r="H154">
        <v>489</v>
      </c>
      <c r="I154">
        <v>4</v>
      </c>
      <c r="J154">
        <v>0</v>
      </c>
      <c r="K154">
        <v>0</v>
      </c>
      <c r="L154">
        <v>0</v>
      </c>
      <c r="N154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72.900000000000006</v>
      </c>
    </row>
    <row r="155" spans="1:14" x14ac:dyDescent="0.2">
      <c r="A155" t="s">
        <v>429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52</v>
      </c>
      <c r="H155">
        <v>510</v>
      </c>
      <c r="I155">
        <v>3</v>
      </c>
      <c r="J155">
        <v>0</v>
      </c>
      <c r="K155">
        <v>0</v>
      </c>
      <c r="L155">
        <v>0</v>
      </c>
      <c r="N155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69</v>
      </c>
    </row>
    <row r="156" spans="1:14" x14ac:dyDescent="0.2">
      <c r="A156" t="s">
        <v>430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51</v>
      </c>
      <c r="H156">
        <v>498</v>
      </c>
      <c r="I156">
        <v>3</v>
      </c>
      <c r="J156">
        <v>0</v>
      </c>
      <c r="K156">
        <v>0</v>
      </c>
      <c r="L156">
        <v>0</v>
      </c>
      <c r="N156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67.800000000000011</v>
      </c>
    </row>
    <row r="157" spans="1:14" x14ac:dyDescent="0.2">
      <c r="A157" t="s">
        <v>431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50</v>
      </c>
      <c r="H157">
        <v>505</v>
      </c>
      <c r="I157">
        <v>3</v>
      </c>
      <c r="J157">
        <v>0</v>
      </c>
      <c r="K157">
        <v>0</v>
      </c>
      <c r="L157">
        <v>0</v>
      </c>
      <c r="N157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68.5</v>
      </c>
    </row>
    <row r="159" spans="1:14" x14ac:dyDescent="0.2">
      <c r="A159" t="s">
        <v>6</v>
      </c>
      <c r="B159" t="s">
        <v>504</v>
      </c>
      <c r="C159" t="s">
        <v>520</v>
      </c>
      <c r="D159" t="s">
        <v>521</v>
      </c>
      <c r="E159" t="s">
        <v>522</v>
      </c>
      <c r="F159" t="s">
        <v>523</v>
      </c>
      <c r="G159" t="s">
        <v>14</v>
      </c>
      <c r="H159" t="s">
        <v>519</v>
      </c>
      <c r="I159" t="s">
        <v>475</v>
      </c>
    </row>
    <row r="160" spans="1:14" x14ac:dyDescent="0.2">
      <c r="A160" t="s">
        <v>432</v>
      </c>
      <c r="B160">
        <v>38</v>
      </c>
      <c r="C160">
        <v>0</v>
      </c>
      <c r="D160">
        <v>7</v>
      </c>
      <c r="E160">
        <v>8</v>
      </c>
      <c r="F160">
        <v>9</v>
      </c>
      <c r="G160">
        <v>9</v>
      </c>
      <c r="I160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164</v>
      </c>
    </row>
    <row r="161" spans="1:9" x14ac:dyDescent="0.2">
      <c r="A161" t="s">
        <v>433</v>
      </c>
      <c r="B161">
        <v>39</v>
      </c>
      <c r="C161">
        <v>1</v>
      </c>
      <c r="D161">
        <v>6</v>
      </c>
      <c r="E161">
        <v>9</v>
      </c>
      <c r="F161">
        <v>9</v>
      </c>
      <c r="G161">
        <v>6</v>
      </c>
      <c r="I161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153</v>
      </c>
    </row>
    <row r="162" spans="1:9" x14ac:dyDescent="0.2">
      <c r="A162" t="s">
        <v>434</v>
      </c>
      <c r="B162">
        <v>47</v>
      </c>
      <c r="C162">
        <v>0</v>
      </c>
      <c r="D162">
        <v>5</v>
      </c>
      <c r="E162">
        <v>8</v>
      </c>
      <c r="F162">
        <v>8</v>
      </c>
      <c r="G162">
        <v>6</v>
      </c>
      <c r="I162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148</v>
      </c>
    </row>
    <row r="163" spans="1:9" x14ac:dyDescent="0.2">
      <c r="A163" t="s">
        <v>435</v>
      </c>
      <c r="B163">
        <v>43</v>
      </c>
      <c r="C163">
        <v>1</v>
      </c>
      <c r="D163">
        <v>6</v>
      </c>
      <c r="E163">
        <v>8</v>
      </c>
      <c r="F163">
        <v>7</v>
      </c>
      <c r="G163">
        <v>6</v>
      </c>
      <c r="I163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146</v>
      </c>
    </row>
    <row r="164" spans="1:9" x14ac:dyDescent="0.2">
      <c r="A164" t="s">
        <v>436</v>
      </c>
      <c r="B164">
        <v>37</v>
      </c>
      <c r="C164">
        <v>0</v>
      </c>
      <c r="D164">
        <v>7</v>
      </c>
      <c r="E164">
        <v>9</v>
      </c>
      <c r="F164">
        <v>8</v>
      </c>
      <c r="G164">
        <v>6</v>
      </c>
      <c r="I164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147</v>
      </c>
    </row>
    <row r="165" spans="1:9" x14ac:dyDescent="0.2">
      <c r="A165" t="s">
        <v>437</v>
      </c>
      <c r="B165">
        <v>42</v>
      </c>
      <c r="C165">
        <v>0</v>
      </c>
      <c r="D165">
        <v>6</v>
      </c>
      <c r="E165">
        <v>8</v>
      </c>
      <c r="F165">
        <v>8</v>
      </c>
      <c r="G165">
        <v>6</v>
      </c>
      <c r="I165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146</v>
      </c>
    </row>
    <row r="166" spans="1:9" x14ac:dyDescent="0.2">
      <c r="A166" t="s">
        <v>438</v>
      </c>
      <c r="B166">
        <v>34</v>
      </c>
      <c r="C166">
        <v>0</v>
      </c>
      <c r="D166">
        <v>7</v>
      </c>
      <c r="E166">
        <v>9</v>
      </c>
      <c r="F166">
        <v>8</v>
      </c>
      <c r="G166">
        <v>6</v>
      </c>
      <c r="I166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144</v>
      </c>
    </row>
    <row r="167" spans="1:9" x14ac:dyDescent="0.2">
      <c r="A167" t="s">
        <v>439</v>
      </c>
      <c r="B167">
        <v>34</v>
      </c>
      <c r="C167">
        <v>0</v>
      </c>
      <c r="D167">
        <v>7</v>
      </c>
      <c r="E167">
        <v>7</v>
      </c>
      <c r="F167">
        <v>8</v>
      </c>
      <c r="G167">
        <v>7</v>
      </c>
      <c r="I167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143</v>
      </c>
    </row>
    <row r="168" spans="1:9" x14ac:dyDescent="0.2">
      <c r="A168" t="s">
        <v>440</v>
      </c>
      <c r="B168">
        <v>44</v>
      </c>
      <c r="C168">
        <v>0</v>
      </c>
      <c r="D168">
        <v>7</v>
      </c>
      <c r="E168">
        <v>8</v>
      </c>
      <c r="F168">
        <v>7</v>
      </c>
      <c r="G168">
        <v>5</v>
      </c>
      <c r="I168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142</v>
      </c>
    </row>
    <row r="169" spans="1:9" x14ac:dyDescent="0.2">
      <c r="A169" t="s">
        <v>441</v>
      </c>
      <c r="B169">
        <v>48</v>
      </c>
      <c r="C169">
        <v>0</v>
      </c>
      <c r="D169">
        <v>6</v>
      </c>
      <c r="E169">
        <v>8</v>
      </c>
      <c r="F169">
        <v>8</v>
      </c>
      <c r="G169">
        <v>4</v>
      </c>
      <c r="I169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142</v>
      </c>
    </row>
    <row r="170" spans="1:9" x14ac:dyDescent="0.2">
      <c r="A170" t="s">
        <v>442</v>
      </c>
      <c r="B170">
        <v>43</v>
      </c>
      <c r="C170">
        <v>0</v>
      </c>
      <c r="D170">
        <v>6</v>
      </c>
      <c r="E170">
        <v>8</v>
      </c>
      <c r="F170">
        <v>8</v>
      </c>
      <c r="G170">
        <v>5</v>
      </c>
      <c r="I170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142</v>
      </c>
    </row>
    <row r="171" spans="1:9" x14ac:dyDescent="0.2">
      <c r="A171" t="s">
        <v>443</v>
      </c>
      <c r="B171">
        <v>37</v>
      </c>
      <c r="C171">
        <v>0</v>
      </c>
      <c r="D171">
        <v>6</v>
      </c>
      <c r="E171">
        <v>8</v>
      </c>
      <c r="F171">
        <v>8</v>
      </c>
      <c r="G171">
        <v>6</v>
      </c>
      <c r="I171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141</v>
      </c>
    </row>
    <row r="172" spans="1:9" x14ac:dyDescent="0.2">
      <c r="A172" t="s">
        <v>444</v>
      </c>
      <c r="B172">
        <v>36</v>
      </c>
      <c r="C172">
        <v>0</v>
      </c>
      <c r="D172">
        <v>7</v>
      </c>
      <c r="E172">
        <v>8</v>
      </c>
      <c r="F172">
        <v>7</v>
      </c>
      <c r="G172">
        <v>6</v>
      </c>
      <c r="I172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139</v>
      </c>
    </row>
    <row r="173" spans="1:9" x14ac:dyDescent="0.2">
      <c r="A173" t="s">
        <v>445</v>
      </c>
      <c r="B173">
        <v>42</v>
      </c>
      <c r="C173">
        <v>0</v>
      </c>
      <c r="D173">
        <v>7</v>
      </c>
      <c r="E173">
        <v>8</v>
      </c>
      <c r="F173">
        <v>8</v>
      </c>
      <c r="G173">
        <v>4</v>
      </c>
      <c r="I173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139</v>
      </c>
    </row>
    <row r="174" spans="1:9" x14ac:dyDescent="0.2">
      <c r="A174" t="s">
        <v>446</v>
      </c>
      <c r="B174">
        <v>45</v>
      </c>
      <c r="C174">
        <v>0</v>
      </c>
      <c r="D174">
        <v>5</v>
      </c>
      <c r="E174">
        <v>8</v>
      </c>
      <c r="F174">
        <v>9</v>
      </c>
      <c r="G174">
        <v>4</v>
      </c>
      <c r="I174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140</v>
      </c>
    </row>
    <row r="175" spans="1:9" x14ac:dyDescent="0.2">
      <c r="A175" t="s">
        <v>447</v>
      </c>
      <c r="B175">
        <v>36</v>
      </c>
      <c r="C175">
        <v>0</v>
      </c>
      <c r="D175">
        <v>7</v>
      </c>
      <c r="E175">
        <v>8</v>
      </c>
      <c r="F175">
        <v>8</v>
      </c>
      <c r="G175">
        <v>5</v>
      </c>
      <c r="I175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138</v>
      </c>
    </row>
    <row r="176" spans="1:9" x14ac:dyDescent="0.2">
      <c r="A176" t="s">
        <v>448</v>
      </c>
      <c r="B176">
        <v>44</v>
      </c>
      <c r="C176">
        <v>0</v>
      </c>
      <c r="D176">
        <v>5</v>
      </c>
      <c r="E176">
        <v>9</v>
      </c>
      <c r="F176">
        <v>8</v>
      </c>
      <c r="G176">
        <v>4</v>
      </c>
      <c r="I176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138</v>
      </c>
    </row>
    <row r="177" spans="1:13" x14ac:dyDescent="0.2">
      <c r="A177" t="s">
        <v>491</v>
      </c>
      <c r="B177">
        <v>33</v>
      </c>
      <c r="C177">
        <v>0</v>
      </c>
      <c r="D177">
        <v>6</v>
      </c>
      <c r="E177">
        <v>8</v>
      </c>
      <c r="F177">
        <v>8</v>
      </c>
      <c r="G177">
        <v>6</v>
      </c>
      <c r="I177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137</v>
      </c>
    </row>
    <row r="178" spans="1:13" x14ac:dyDescent="0.2">
      <c r="A178" t="s">
        <v>449</v>
      </c>
      <c r="B178">
        <v>34</v>
      </c>
      <c r="C178">
        <v>0</v>
      </c>
      <c r="D178">
        <v>7</v>
      </c>
      <c r="E178">
        <v>8</v>
      </c>
      <c r="F178">
        <v>8</v>
      </c>
      <c r="G178">
        <v>5</v>
      </c>
      <c r="I178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136</v>
      </c>
    </row>
    <row r="179" spans="1:13" x14ac:dyDescent="0.2">
      <c r="A179" t="s">
        <v>450</v>
      </c>
      <c r="B179">
        <v>37</v>
      </c>
      <c r="C179">
        <v>0</v>
      </c>
      <c r="D179">
        <v>7</v>
      </c>
      <c r="E179">
        <v>8</v>
      </c>
      <c r="F179">
        <v>7</v>
      </c>
      <c r="G179">
        <v>5</v>
      </c>
      <c r="I179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135</v>
      </c>
    </row>
    <row r="180" spans="1:13" x14ac:dyDescent="0.2">
      <c r="A180" t="s">
        <v>451</v>
      </c>
      <c r="B180">
        <v>34</v>
      </c>
      <c r="C180">
        <v>0</v>
      </c>
      <c r="D180">
        <v>6</v>
      </c>
      <c r="E180">
        <v>8</v>
      </c>
      <c r="F180">
        <v>8</v>
      </c>
      <c r="G180">
        <v>5</v>
      </c>
      <c r="I180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133</v>
      </c>
    </row>
    <row r="181" spans="1:13" x14ac:dyDescent="0.2">
      <c r="A181" t="s">
        <v>452</v>
      </c>
      <c r="B181">
        <v>31</v>
      </c>
      <c r="C181">
        <v>0</v>
      </c>
      <c r="D181">
        <v>7</v>
      </c>
      <c r="E181">
        <v>8</v>
      </c>
      <c r="F181">
        <v>9</v>
      </c>
      <c r="G181">
        <v>4</v>
      </c>
      <c r="I181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132</v>
      </c>
    </row>
    <row r="182" spans="1:13" x14ac:dyDescent="0.2">
      <c r="A182" t="s">
        <v>453</v>
      </c>
      <c r="B182">
        <v>33</v>
      </c>
      <c r="C182">
        <v>0</v>
      </c>
      <c r="D182">
        <v>7</v>
      </c>
      <c r="E182">
        <v>8</v>
      </c>
      <c r="F182">
        <v>8</v>
      </c>
      <c r="G182">
        <v>4</v>
      </c>
      <c r="I182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130</v>
      </c>
    </row>
    <row r="183" spans="1:13" x14ac:dyDescent="0.2">
      <c r="A183" t="s">
        <v>454</v>
      </c>
      <c r="B183">
        <v>31</v>
      </c>
      <c r="C183">
        <v>0</v>
      </c>
      <c r="D183">
        <v>6</v>
      </c>
      <c r="E183">
        <v>8</v>
      </c>
      <c r="F183">
        <v>7</v>
      </c>
      <c r="G183">
        <v>5</v>
      </c>
      <c r="I183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126</v>
      </c>
    </row>
    <row r="184" spans="1:13" x14ac:dyDescent="0.2">
      <c r="A184" t="s">
        <v>455</v>
      </c>
      <c r="B184">
        <v>33</v>
      </c>
      <c r="C184">
        <v>0</v>
      </c>
      <c r="D184">
        <v>6</v>
      </c>
      <c r="E184">
        <v>9</v>
      </c>
      <c r="F184">
        <v>8</v>
      </c>
      <c r="G184">
        <v>3</v>
      </c>
      <c r="I184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125</v>
      </c>
    </row>
    <row r="186" spans="1:13" x14ac:dyDescent="0.2">
      <c r="A186" s="13" t="s">
        <v>284</v>
      </c>
      <c r="B186" s="13" t="s">
        <v>15</v>
      </c>
      <c r="C186" s="13" t="s">
        <v>312</v>
      </c>
      <c r="D186" s="13" t="s">
        <v>457</v>
      </c>
      <c r="E186" s="13" t="s">
        <v>505</v>
      </c>
      <c r="F186" s="13" t="s">
        <v>506</v>
      </c>
      <c r="G186" s="13" t="s">
        <v>458</v>
      </c>
      <c r="H186" s="13" t="s">
        <v>517</v>
      </c>
      <c r="I186" s="13" t="s">
        <v>518</v>
      </c>
      <c r="J186" s="13" t="s">
        <v>7</v>
      </c>
      <c r="K186" s="13" t="s">
        <v>459</v>
      </c>
      <c r="L186" s="13" t="s">
        <v>519</v>
      </c>
      <c r="M186" s="13" t="s">
        <v>475</v>
      </c>
    </row>
    <row r="187" spans="1:13" x14ac:dyDescent="0.2">
      <c r="A187" t="s">
        <v>492</v>
      </c>
      <c r="B187">
        <v>45</v>
      </c>
      <c r="C187">
        <v>16</v>
      </c>
      <c r="D187">
        <v>10</v>
      </c>
      <c r="E187">
        <v>1</v>
      </c>
      <c r="F187">
        <v>3</v>
      </c>
      <c r="G187">
        <v>0</v>
      </c>
      <c r="J187">
        <v>0</v>
      </c>
      <c r="K187">
        <v>314</v>
      </c>
      <c r="M187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156.97865116444967</v>
      </c>
    </row>
    <row r="188" spans="1:13" x14ac:dyDescent="0.2">
      <c r="A188" t="s">
        <v>460</v>
      </c>
      <c r="B188">
        <v>46</v>
      </c>
      <c r="C188">
        <v>14</v>
      </c>
      <c r="D188">
        <v>10</v>
      </c>
      <c r="E188">
        <v>1</v>
      </c>
      <c r="F188">
        <v>3</v>
      </c>
      <c r="G188">
        <v>0</v>
      </c>
      <c r="J188">
        <v>0</v>
      </c>
      <c r="K188">
        <v>325</v>
      </c>
      <c r="M188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155.27408161925521</v>
      </c>
    </row>
    <row r="189" spans="1:13" x14ac:dyDescent="0.2">
      <c r="A189" t="s">
        <v>461</v>
      </c>
      <c r="B189">
        <v>46</v>
      </c>
      <c r="C189">
        <v>14</v>
      </c>
      <c r="D189">
        <v>10</v>
      </c>
      <c r="E189">
        <v>1</v>
      </c>
      <c r="F189">
        <v>3</v>
      </c>
      <c r="G189">
        <v>0</v>
      </c>
      <c r="J189">
        <v>0</v>
      </c>
      <c r="K189">
        <v>331</v>
      </c>
      <c r="M189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155.98068004914916</v>
      </c>
    </row>
    <row r="190" spans="1:13" x14ac:dyDescent="0.2">
      <c r="A190" t="s">
        <v>462</v>
      </c>
      <c r="B190">
        <v>45</v>
      </c>
      <c r="C190">
        <v>14</v>
      </c>
      <c r="D190">
        <v>10</v>
      </c>
      <c r="E190">
        <v>1</v>
      </c>
      <c r="F190">
        <v>3</v>
      </c>
      <c r="G190">
        <v>0</v>
      </c>
      <c r="J190">
        <v>0</v>
      </c>
      <c r="K190">
        <v>331</v>
      </c>
      <c r="M190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154.98068004914916</v>
      </c>
    </row>
    <row r="191" spans="1:13" x14ac:dyDescent="0.2">
      <c r="A191" t="s">
        <v>463</v>
      </c>
      <c r="B191">
        <v>45</v>
      </c>
      <c r="C191">
        <v>14</v>
      </c>
      <c r="D191">
        <v>10</v>
      </c>
      <c r="E191">
        <v>1</v>
      </c>
      <c r="F191">
        <v>3</v>
      </c>
      <c r="G191">
        <v>0</v>
      </c>
      <c r="J191">
        <v>0</v>
      </c>
      <c r="K191">
        <v>339</v>
      </c>
      <c r="M191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155.92281128900774</v>
      </c>
    </row>
    <row r="192" spans="1:13" x14ac:dyDescent="0.2">
      <c r="A192" t="s">
        <v>464</v>
      </c>
      <c r="B192">
        <v>46</v>
      </c>
      <c r="C192">
        <v>14</v>
      </c>
      <c r="D192">
        <v>10</v>
      </c>
      <c r="E192">
        <v>1</v>
      </c>
      <c r="F192">
        <v>3</v>
      </c>
      <c r="G192">
        <v>0</v>
      </c>
      <c r="J192">
        <v>0</v>
      </c>
      <c r="K192">
        <v>348</v>
      </c>
      <c r="M192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157.98270893384861</v>
      </c>
    </row>
    <row r="193" spans="1:13" x14ac:dyDescent="0.2">
      <c r="A193" t="s">
        <v>465</v>
      </c>
      <c r="B193">
        <v>45</v>
      </c>
      <c r="C193">
        <v>13</v>
      </c>
      <c r="D193">
        <v>10</v>
      </c>
      <c r="E193">
        <v>1</v>
      </c>
      <c r="F193">
        <v>3</v>
      </c>
      <c r="G193">
        <v>0</v>
      </c>
      <c r="J193">
        <v>0</v>
      </c>
      <c r="K193">
        <v>348</v>
      </c>
      <c r="M193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154.98270893384861</v>
      </c>
    </row>
    <row r="194" spans="1:13" x14ac:dyDescent="0.2">
      <c r="A194" t="s">
        <v>493</v>
      </c>
      <c r="B194">
        <v>45</v>
      </c>
      <c r="C194">
        <v>13</v>
      </c>
      <c r="D194">
        <v>10</v>
      </c>
      <c r="E194">
        <v>1</v>
      </c>
      <c r="F194">
        <v>3</v>
      </c>
      <c r="G194">
        <v>0</v>
      </c>
      <c r="J194">
        <v>0</v>
      </c>
      <c r="K194">
        <v>352</v>
      </c>
      <c r="M194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155.45377455377798</v>
      </c>
    </row>
    <row r="195" spans="1:13" x14ac:dyDescent="0.2">
      <c r="A195" t="s">
        <v>466</v>
      </c>
      <c r="B195">
        <v>44</v>
      </c>
      <c r="C195">
        <v>13</v>
      </c>
      <c r="D195">
        <v>10</v>
      </c>
      <c r="E195">
        <v>1</v>
      </c>
      <c r="F195">
        <v>3</v>
      </c>
      <c r="G195">
        <v>0</v>
      </c>
      <c r="J195">
        <v>0</v>
      </c>
      <c r="K195">
        <v>363</v>
      </c>
      <c r="M195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155.74920500858352</v>
      </c>
    </row>
    <row r="196" spans="1:13" x14ac:dyDescent="0.2">
      <c r="A196" t="s">
        <v>494</v>
      </c>
      <c r="B196">
        <v>47</v>
      </c>
      <c r="C196">
        <v>13</v>
      </c>
      <c r="D196">
        <v>10</v>
      </c>
      <c r="E196">
        <v>0</v>
      </c>
      <c r="F196">
        <v>3</v>
      </c>
      <c r="G196">
        <v>0</v>
      </c>
      <c r="J196">
        <v>0</v>
      </c>
      <c r="K196">
        <v>354</v>
      </c>
      <c r="M196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152.68930736374259</v>
      </c>
    </row>
    <row r="197" spans="1:13" x14ac:dyDescent="0.2">
      <c r="A197" t="s">
        <v>495</v>
      </c>
      <c r="B197">
        <v>43</v>
      </c>
      <c r="C197">
        <v>12</v>
      </c>
      <c r="D197">
        <v>9</v>
      </c>
      <c r="E197">
        <v>0</v>
      </c>
      <c r="F197">
        <v>2</v>
      </c>
      <c r="G197">
        <v>0</v>
      </c>
      <c r="J197">
        <v>0</v>
      </c>
      <c r="K197">
        <v>371</v>
      </c>
      <c r="M197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140.6913362484421</v>
      </c>
    </row>
    <row r="198" spans="1:13" x14ac:dyDescent="0.2">
      <c r="A198" t="s">
        <v>467</v>
      </c>
      <c r="B198">
        <v>42</v>
      </c>
      <c r="C198">
        <v>12</v>
      </c>
      <c r="D198">
        <v>9</v>
      </c>
      <c r="E198">
        <v>0</v>
      </c>
      <c r="F198">
        <v>2</v>
      </c>
      <c r="G198">
        <v>0</v>
      </c>
      <c r="J198">
        <v>0</v>
      </c>
      <c r="K198">
        <v>376</v>
      </c>
      <c r="M198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140.28016827335375</v>
      </c>
    </row>
    <row r="199" spans="1:13" x14ac:dyDescent="0.2">
      <c r="A199" t="s">
        <v>468</v>
      </c>
      <c r="B199">
        <v>42</v>
      </c>
      <c r="C199">
        <v>12</v>
      </c>
      <c r="D199">
        <v>9</v>
      </c>
      <c r="E199">
        <v>0</v>
      </c>
      <c r="F199">
        <v>2</v>
      </c>
      <c r="G199">
        <v>0</v>
      </c>
      <c r="J199">
        <v>0</v>
      </c>
      <c r="K199">
        <v>375</v>
      </c>
      <c r="M199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140.1624018683714</v>
      </c>
    </row>
    <row r="200" spans="1:13" x14ac:dyDescent="0.2">
      <c r="A200" t="s">
        <v>496</v>
      </c>
      <c r="B200">
        <v>37</v>
      </c>
      <c r="C200">
        <v>12</v>
      </c>
      <c r="D200">
        <v>8</v>
      </c>
      <c r="E200">
        <v>0</v>
      </c>
      <c r="F200">
        <v>2</v>
      </c>
      <c r="G200">
        <v>0</v>
      </c>
      <c r="J200">
        <v>1</v>
      </c>
      <c r="K200">
        <v>386</v>
      </c>
      <c r="M200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140.457832323177</v>
      </c>
    </row>
    <row r="201" spans="1:13" x14ac:dyDescent="0.2">
      <c r="A201" t="s">
        <v>497</v>
      </c>
      <c r="B201">
        <v>42</v>
      </c>
      <c r="C201">
        <v>13</v>
      </c>
      <c r="D201">
        <v>9</v>
      </c>
      <c r="E201">
        <v>0</v>
      </c>
      <c r="F201">
        <v>2</v>
      </c>
      <c r="G201">
        <v>0</v>
      </c>
      <c r="J201">
        <v>0</v>
      </c>
      <c r="K201">
        <v>378</v>
      </c>
      <c r="M201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142.51570108331839</v>
      </c>
    </row>
    <row r="202" spans="1:13" x14ac:dyDescent="0.2">
      <c r="A202" t="s">
        <v>498</v>
      </c>
      <c r="B202">
        <v>42</v>
      </c>
      <c r="C202">
        <v>13</v>
      </c>
      <c r="D202">
        <v>9</v>
      </c>
      <c r="E202">
        <v>0</v>
      </c>
      <c r="F202">
        <v>2</v>
      </c>
      <c r="G202">
        <v>0</v>
      </c>
      <c r="J202">
        <v>0</v>
      </c>
      <c r="K202">
        <v>378</v>
      </c>
      <c r="M202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142.51570108331839</v>
      </c>
    </row>
    <row r="203" spans="1:13" x14ac:dyDescent="0.2">
      <c r="A203" t="s">
        <v>469</v>
      </c>
      <c r="B203">
        <v>42</v>
      </c>
      <c r="C203">
        <v>12</v>
      </c>
      <c r="D203">
        <v>9</v>
      </c>
      <c r="E203">
        <v>0</v>
      </c>
      <c r="F203">
        <v>2</v>
      </c>
      <c r="G203">
        <v>0</v>
      </c>
      <c r="J203">
        <v>0</v>
      </c>
      <c r="K203">
        <v>383</v>
      </c>
      <c r="M203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141.10453310823002</v>
      </c>
    </row>
    <row r="204" spans="1:13" x14ac:dyDescent="0.2">
      <c r="A204" t="s">
        <v>499</v>
      </c>
      <c r="B204">
        <v>40</v>
      </c>
      <c r="C204">
        <v>12</v>
      </c>
      <c r="D204">
        <v>8</v>
      </c>
      <c r="E204">
        <v>0</v>
      </c>
      <c r="F204">
        <v>2</v>
      </c>
      <c r="G204">
        <v>0</v>
      </c>
      <c r="J204">
        <v>0</v>
      </c>
      <c r="K204">
        <v>380</v>
      </c>
      <c r="M204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136.751233893283</v>
      </c>
    </row>
    <row r="205" spans="1:13" x14ac:dyDescent="0.2">
      <c r="A205" t="s">
        <v>470</v>
      </c>
      <c r="B205">
        <v>40</v>
      </c>
      <c r="C205">
        <v>12</v>
      </c>
      <c r="D205">
        <v>8</v>
      </c>
      <c r="E205">
        <v>0</v>
      </c>
      <c r="F205">
        <v>2</v>
      </c>
      <c r="G205">
        <v>0</v>
      </c>
      <c r="J205">
        <v>0</v>
      </c>
      <c r="K205">
        <v>393</v>
      </c>
      <c r="M205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138.28219715805324</v>
      </c>
    </row>
    <row r="206" spans="1:13" x14ac:dyDescent="0.2">
      <c r="A206" t="s">
        <v>500</v>
      </c>
      <c r="B206">
        <v>39</v>
      </c>
      <c r="C206">
        <v>12</v>
      </c>
      <c r="D206">
        <v>8</v>
      </c>
      <c r="E206">
        <v>0</v>
      </c>
      <c r="F206">
        <v>2</v>
      </c>
      <c r="G206">
        <v>0</v>
      </c>
      <c r="J206">
        <v>1</v>
      </c>
      <c r="K206">
        <v>391</v>
      </c>
      <c r="M206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143.0466643480886</v>
      </c>
    </row>
    <row r="207" spans="1:13" x14ac:dyDescent="0.2">
      <c r="A207" t="s">
        <v>471</v>
      </c>
      <c r="B207">
        <v>41</v>
      </c>
      <c r="C207">
        <v>12</v>
      </c>
      <c r="D207">
        <v>8</v>
      </c>
      <c r="E207">
        <v>0</v>
      </c>
      <c r="F207">
        <v>2</v>
      </c>
      <c r="G207">
        <v>0</v>
      </c>
      <c r="J207">
        <v>0</v>
      </c>
      <c r="K207">
        <v>406</v>
      </c>
      <c r="M207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140.81316042282342</v>
      </c>
    </row>
    <row r="208" spans="1:13" x14ac:dyDescent="0.2">
      <c r="A208" t="s">
        <v>472</v>
      </c>
      <c r="B208">
        <v>42</v>
      </c>
      <c r="C208">
        <v>12</v>
      </c>
      <c r="D208">
        <v>9</v>
      </c>
      <c r="E208">
        <v>0</v>
      </c>
      <c r="F208">
        <v>2</v>
      </c>
      <c r="G208">
        <v>0</v>
      </c>
      <c r="J208">
        <v>0</v>
      </c>
      <c r="K208">
        <v>452</v>
      </c>
      <c r="M208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149.23041505201033</v>
      </c>
    </row>
    <row r="209" spans="1:13" x14ac:dyDescent="0.2">
      <c r="A209" t="s">
        <v>473</v>
      </c>
      <c r="B209">
        <v>38</v>
      </c>
      <c r="C209">
        <v>12</v>
      </c>
      <c r="D209">
        <v>8</v>
      </c>
      <c r="E209">
        <v>0</v>
      </c>
      <c r="F209">
        <v>2</v>
      </c>
      <c r="G209">
        <v>0</v>
      </c>
      <c r="J209">
        <v>1</v>
      </c>
      <c r="K209">
        <v>411</v>
      </c>
      <c r="M209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144.40199244773507</v>
      </c>
    </row>
    <row r="210" spans="1:13" x14ac:dyDescent="0.2">
      <c r="A210" t="s">
        <v>501</v>
      </c>
      <c r="B210">
        <v>40</v>
      </c>
      <c r="C210">
        <v>11</v>
      </c>
      <c r="D210">
        <v>8</v>
      </c>
      <c r="E210">
        <v>0</v>
      </c>
      <c r="F210">
        <v>2</v>
      </c>
      <c r="G210">
        <v>0</v>
      </c>
      <c r="J210">
        <v>0</v>
      </c>
      <c r="K210">
        <v>419</v>
      </c>
      <c r="M210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139.34412368759365</v>
      </c>
    </row>
    <row r="211" spans="1:13" x14ac:dyDescent="0.2">
      <c r="A211" t="s">
        <v>474</v>
      </c>
      <c r="B211">
        <v>40</v>
      </c>
      <c r="C211">
        <v>12</v>
      </c>
      <c r="D211">
        <v>8</v>
      </c>
      <c r="E211">
        <v>0</v>
      </c>
      <c r="F211">
        <v>2</v>
      </c>
      <c r="G211">
        <v>0</v>
      </c>
      <c r="J211">
        <v>0</v>
      </c>
      <c r="K211">
        <v>415</v>
      </c>
      <c r="M211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140.87305806766435</v>
      </c>
    </row>
  </sheetData>
  <phoneticPr fontId="6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71F2F-2E0B-AF48-A956-1214B89CE5CE}">
  <dimension ref="A1:M15"/>
  <sheetViews>
    <sheetView workbookViewId="0">
      <selection activeCell="J22" sqref="J22"/>
    </sheetView>
  </sheetViews>
  <sheetFormatPr baseColWidth="10" defaultRowHeight="15" x14ac:dyDescent="0.2"/>
  <sheetData>
    <row r="1" spans="1:13" x14ac:dyDescent="0.2">
      <c r="A1" s="14" t="s">
        <v>572</v>
      </c>
      <c r="B1" s="15" t="s">
        <v>282</v>
      </c>
      <c r="C1" s="15" t="s">
        <v>277</v>
      </c>
      <c r="D1" s="15" t="s">
        <v>274</v>
      </c>
      <c r="E1" s="15" t="s">
        <v>278</v>
      </c>
      <c r="F1" s="15" t="s">
        <v>286</v>
      </c>
      <c r="G1" s="15" t="s">
        <v>272</v>
      </c>
      <c r="H1" s="15" t="s">
        <v>276</v>
      </c>
      <c r="I1" s="15" t="s">
        <v>281</v>
      </c>
      <c r="J1" s="15" t="s">
        <v>275</v>
      </c>
      <c r="K1" s="15" t="s">
        <v>279</v>
      </c>
      <c r="L1" s="15" t="s">
        <v>273</v>
      </c>
      <c r="M1" s="16" t="s">
        <v>280</v>
      </c>
    </row>
    <row r="2" spans="1:13" x14ac:dyDescent="0.2">
      <c r="A2" s="17">
        <v>1</v>
      </c>
      <c r="B2" s="18" t="s">
        <v>17</v>
      </c>
      <c r="C2" s="18" t="s">
        <v>19</v>
      </c>
      <c r="D2" s="18" t="s">
        <v>19</v>
      </c>
      <c r="E2" s="18" t="s">
        <v>19</v>
      </c>
      <c r="F2" s="18" t="s">
        <v>17</v>
      </c>
      <c r="G2" s="18" t="s">
        <v>19</v>
      </c>
      <c r="H2" s="18" t="s">
        <v>19</v>
      </c>
      <c r="I2" s="18" t="s">
        <v>17</v>
      </c>
      <c r="J2" s="18" t="s">
        <v>19</v>
      </c>
      <c r="K2" s="18" t="s">
        <v>17</v>
      </c>
      <c r="L2" s="18" t="s">
        <v>17</v>
      </c>
      <c r="M2" s="19" t="s">
        <v>17</v>
      </c>
    </row>
    <row r="3" spans="1:13" x14ac:dyDescent="0.2">
      <c r="A3" s="20">
        <v>2</v>
      </c>
      <c r="B3" s="21" t="s">
        <v>19</v>
      </c>
      <c r="C3" s="21" t="s">
        <v>17</v>
      </c>
      <c r="D3" s="21" t="s">
        <v>43</v>
      </c>
      <c r="E3" s="21" t="s">
        <v>17</v>
      </c>
      <c r="F3" s="21" t="s">
        <v>19</v>
      </c>
      <c r="G3" s="21" t="s">
        <v>19</v>
      </c>
      <c r="H3" s="21" t="s">
        <v>19</v>
      </c>
      <c r="I3" s="21" t="s">
        <v>17</v>
      </c>
      <c r="J3" s="21" t="s">
        <v>19</v>
      </c>
      <c r="K3" s="21" t="s">
        <v>17</v>
      </c>
      <c r="L3" s="21" t="s">
        <v>19</v>
      </c>
      <c r="M3" s="22" t="s">
        <v>17</v>
      </c>
    </row>
    <row r="4" spans="1:13" x14ac:dyDescent="0.2">
      <c r="A4" s="17">
        <v>3</v>
      </c>
      <c r="B4" s="18" t="s">
        <v>53</v>
      </c>
      <c r="C4" s="18" t="s">
        <v>19</v>
      </c>
      <c r="D4" s="18" t="s">
        <v>17</v>
      </c>
      <c r="E4" s="18" t="s">
        <v>53</v>
      </c>
      <c r="F4" s="18" t="s">
        <v>19</v>
      </c>
      <c r="G4" s="18" t="s">
        <v>19</v>
      </c>
      <c r="H4" s="18" t="s">
        <v>43</v>
      </c>
      <c r="I4" s="18" t="s">
        <v>43</v>
      </c>
      <c r="J4" s="18" t="s">
        <v>17</v>
      </c>
      <c r="K4" s="18" t="s">
        <v>53</v>
      </c>
      <c r="L4" s="18" t="s">
        <v>53</v>
      </c>
      <c r="M4" s="19" t="s">
        <v>17</v>
      </c>
    </row>
    <row r="5" spans="1:13" x14ac:dyDescent="0.2">
      <c r="A5" s="20">
        <v>4</v>
      </c>
      <c r="B5" s="21" t="s">
        <v>17</v>
      </c>
      <c r="C5" s="21" t="s">
        <v>17</v>
      </c>
      <c r="D5" s="21" t="s">
        <v>19</v>
      </c>
      <c r="E5" s="21" t="s">
        <v>17</v>
      </c>
      <c r="F5" s="21" t="s">
        <v>17</v>
      </c>
      <c r="G5" s="21" t="s">
        <v>17</v>
      </c>
      <c r="H5" s="21" t="s">
        <v>17</v>
      </c>
      <c r="I5" s="21" t="s">
        <v>19</v>
      </c>
      <c r="J5" s="21" t="s">
        <v>17</v>
      </c>
      <c r="K5" s="21" t="s">
        <v>17</v>
      </c>
      <c r="L5" s="21" t="s">
        <v>19</v>
      </c>
      <c r="M5" s="22" t="s">
        <v>19</v>
      </c>
    </row>
    <row r="6" spans="1:13" x14ac:dyDescent="0.2">
      <c r="A6" s="17">
        <v>5</v>
      </c>
      <c r="B6" s="18" t="s">
        <v>19</v>
      </c>
      <c r="C6" s="18" t="s">
        <v>17</v>
      </c>
      <c r="D6" s="18" t="s">
        <v>17</v>
      </c>
      <c r="E6" s="18" t="s">
        <v>17</v>
      </c>
      <c r="F6" s="18" t="s">
        <v>53</v>
      </c>
      <c r="G6" s="18" t="s">
        <v>17</v>
      </c>
      <c r="H6" s="18" t="s">
        <v>19</v>
      </c>
      <c r="I6" s="18" t="s">
        <v>19</v>
      </c>
      <c r="J6" s="18" t="s">
        <v>19</v>
      </c>
      <c r="K6" s="18" t="s">
        <v>19</v>
      </c>
      <c r="L6" s="18" t="s">
        <v>17</v>
      </c>
      <c r="M6" s="19" t="s">
        <v>19</v>
      </c>
    </row>
    <row r="7" spans="1:13" x14ac:dyDescent="0.2">
      <c r="A7" s="20">
        <v>6</v>
      </c>
      <c r="B7" s="21" t="s">
        <v>17</v>
      </c>
      <c r="C7" s="21" t="s">
        <v>19</v>
      </c>
      <c r="D7" s="21" t="s">
        <v>53</v>
      </c>
      <c r="E7" s="21" t="s">
        <v>19</v>
      </c>
      <c r="F7" s="21" t="s">
        <v>43</v>
      </c>
      <c r="G7" s="21" t="s">
        <v>17</v>
      </c>
      <c r="H7" s="21" t="s">
        <v>17</v>
      </c>
      <c r="I7" s="21" t="s">
        <v>19</v>
      </c>
      <c r="J7" s="21" t="s">
        <v>17</v>
      </c>
      <c r="K7" s="21" t="s">
        <v>43</v>
      </c>
      <c r="L7" s="21" t="s">
        <v>17</v>
      </c>
      <c r="M7" s="22" t="s">
        <v>19</v>
      </c>
    </row>
    <row r="8" spans="1:13" x14ac:dyDescent="0.2">
      <c r="A8" s="17">
        <v>7</v>
      </c>
      <c r="B8" s="18" t="s">
        <v>43</v>
      </c>
      <c r="C8" s="18" t="s">
        <v>53</v>
      </c>
      <c r="D8" s="18" t="s">
        <v>17</v>
      </c>
      <c r="E8" s="18" t="s">
        <v>19</v>
      </c>
      <c r="F8" s="18" t="s">
        <v>17</v>
      </c>
      <c r="G8" s="18" t="s">
        <v>17</v>
      </c>
      <c r="H8" s="18" t="s">
        <v>53</v>
      </c>
      <c r="I8" s="18" t="s">
        <v>17</v>
      </c>
      <c r="J8" s="18" t="s">
        <v>43</v>
      </c>
      <c r="K8" s="18" t="s">
        <v>19</v>
      </c>
      <c r="L8" s="18" t="s">
        <v>43</v>
      </c>
      <c r="M8" s="19" t="s">
        <v>53</v>
      </c>
    </row>
    <row r="9" spans="1:13" x14ac:dyDescent="0.2">
      <c r="A9" s="20">
        <v>8</v>
      </c>
      <c r="B9" s="21" t="s">
        <v>284</v>
      </c>
      <c r="C9" s="21" t="s">
        <v>19</v>
      </c>
      <c r="D9" s="21" t="s">
        <v>19</v>
      </c>
      <c r="E9" s="21" t="s">
        <v>43</v>
      </c>
      <c r="F9" s="21" t="s">
        <v>19</v>
      </c>
      <c r="G9" s="21" t="s">
        <v>53</v>
      </c>
      <c r="H9" s="21" t="s">
        <v>17</v>
      </c>
      <c r="I9" s="21" t="s">
        <v>53</v>
      </c>
      <c r="J9" s="21" t="s">
        <v>284</v>
      </c>
      <c r="K9" s="21" t="s">
        <v>17</v>
      </c>
      <c r="L9" s="21" t="s">
        <v>17</v>
      </c>
      <c r="M9" s="22" t="s">
        <v>43</v>
      </c>
    </row>
    <row r="10" spans="1:13" x14ac:dyDescent="0.2">
      <c r="A10" s="17">
        <v>9</v>
      </c>
      <c r="B10" s="18" t="s">
        <v>6</v>
      </c>
      <c r="C10" s="18" t="s">
        <v>17</v>
      </c>
      <c r="D10" s="18" t="s">
        <v>19</v>
      </c>
      <c r="E10" s="18" t="s">
        <v>17</v>
      </c>
      <c r="F10" s="18" t="s">
        <v>17</v>
      </c>
      <c r="G10" s="18" t="s">
        <v>43</v>
      </c>
      <c r="H10" s="18" t="s">
        <v>17</v>
      </c>
      <c r="I10" s="18" t="s">
        <v>284</v>
      </c>
      <c r="J10" s="18" t="s">
        <v>6</v>
      </c>
      <c r="K10" s="18" t="s">
        <v>17</v>
      </c>
      <c r="L10" s="18" t="s">
        <v>19</v>
      </c>
      <c r="M10" s="19" t="s">
        <v>19</v>
      </c>
    </row>
    <row r="11" spans="1:13" x14ac:dyDescent="0.2">
      <c r="A11" s="20">
        <v>10</v>
      </c>
      <c r="B11" s="21" t="s">
        <v>53</v>
      </c>
      <c r="C11" s="21" t="s">
        <v>284</v>
      </c>
      <c r="D11" s="21" t="s">
        <v>284</v>
      </c>
      <c r="E11" s="21" t="s">
        <v>19</v>
      </c>
      <c r="F11" s="21" t="s">
        <v>19</v>
      </c>
      <c r="G11" s="21" t="s">
        <v>19</v>
      </c>
      <c r="H11" s="21" t="s">
        <v>19</v>
      </c>
      <c r="I11" s="21" t="s">
        <v>19</v>
      </c>
      <c r="J11" s="21" t="s">
        <v>53</v>
      </c>
      <c r="K11" s="21" t="s">
        <v>53</v>
      </c>
      <c r="L11" s="21" t="s">
        <v>17</v>
      </c>
      <c r="M11" s="22" t="s">
        <v>17</v>
      </c>
    </row>
    <row r="12" spans="1:13" x14ac:dyDescent="0.2">
      <c r="A12" s="17">
        <v>11</v>
      </c>
      <c r="B12" s="18" t="s">
        <v>43</v>
      </c>
      <c r="C12" s="18" t="s">
        <v>6</v>
      </c>
      <c r="D12" s="18" t="s">
        <v>53</v>
      </c>
      <c r="E12" s="18" t="s">
        <v>17</v>
      </c>
      <c r="F12" s="18" t="s">
        <v>53</v>
      </c>
      <c r="G12" s="18" t="s">
        <v>284</v>
      </c>
      <c r="H12" s="18" t="s">
        <v>17</v>
      </c>
      <c r="I12" s="18" t="s">
        <v>17</v>
      </c>
      <c r="J12" s="18" t="s">
        <v>19</v>
      </c>
      <c r="K12" s="18" t="s">
        <v>43</v>
      </c>
      <c r="L12" s="18" t="s">
        <v>284</v>
      </c>
      <c r="M12" s="19" t="s">
        <v>43</v>
      </c>
    </row>
    <row r="13" spans="1:13" x14ac:dyDescent="0.2">
      <c r="A13" s="20">
        <v>12</v>
      </c>
      <c r="B13" s="21" t="s">
        <v>17</v>
      </c>
      <c r="C13" s="21" t="s">
        <v>19</v>
      </c>
      <c r="D13" s="21" t="s">
        <v>6</v>
      </c>
      <c r="E13" s="21" t="s">
        <v>19</v>
      </c>
      <c r="F13" s="21" t="s">
        <v>6</v>
      </c>
      <c r="G13" s="21" t="s">
        <v>19</v>
      </c>
      <c r="H13" s="21" t="s">
        <v>6</v>
      </c>
      <c r="I13" s="21" t="s">
        <v>17</v>
      </c>
      <c r="J13" s="21" t="s">
        <v>17</v>
      </c>
      <c r="K13" s="21" t="s">
        <v>19</v>
      </c>
      <c r="L13" s="21" t="s">
        <v>6</v>
      </c>
      <c r="M13" s="22" t="s">
        <v>53</v>
      </c>
    </row>
    <row r="14" spans="1:13" x14ac:dyDescent="0.2">
      <c r="A14" s="17">
        <v>13</v>
      </c>
      <c r="B14" s="18" t="s">
        <v>17</v>
      </c>
      <c r="C14" s="18" t="s">
        <v>19</v>
      </c>
      <c r="D14" s="18" t="s">
        <v>17</v>
      </c>
      <c r="E14" s="18" t="s">
        <v>19</v>
      </c>
      <c r="F14" s="18" t="s">
        <v>284</v>
      </c>
      <c r="G14" s="18" t="s">
        <v>17</v>
      </c>
      <c r="H14" s="18" t="s">
        <v>284</v>
      </c>
      <c r="I14" s="18" t="s">
        <v>284</v>
      </c>
      <c r="J14" s="18" t="s">
        <v>19</v>
      </c>
      <c r="K14" s="18" t="s">
        <v>284</v>
      </c>
      <c r="L14" s="18" t="s">
        <v>53</v>
      </c>
      <c r="M14" s="19" t="s">
        <v>284</v>
      </c>
    </row>
    <row r="15" spans="1:13" x14ac:dyDescent="0.2">
      <c r="A15" s="4">
        <v>14</v>
      </c>
      <c r="B15" s="5" t="s">
        <v>19</v>
      </c>
      <c r="C15" s="5" t="s">
        <v>43</v>
      </c>
      <c r="D15" s="5" t="s">
        <v>43</v>
      </c>
      <c r="E15" s="5" t="s">
        <v>43</v>
      </c>
      <c r="F15" s="5" t="s">
        <v>43</v>
      </c>
      <c r="G15" s="5" t="s">
        <v>6</v>
      </c>
      <c r="H15" s="5" t="s">
        <v>43</v>
      </c>
      <c r="I15" s="5" t="s">
        <v>6</v>
      </c>
      <c r="J15" s="5" t="s">
        <v>19</v>
      </c>
      <c r="K15" s="5" t="s">
        <v>6</v>
      </c>
      <c r="L15" s="5" t="s">
        <v>17</v>
      </c>
      <c r="M15" s="6" t="s">
        <v>6</v>
      </c>
    </row>
  </sheetData>
  <dataValidations count="1">
    <dataValidation type="list" allowBlank="1" showInputMessage="1" showErrorMessage="1" sqref="B2:M15" xr:uid="{CCDF6FB5-1255-FC46-9714-A5FE212FD4A1}">
      <formula1>"QB, WR, RB, TE, K, DEF"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058D3-51D8-2E4E-BF05-4DCEA10E5FDE}">
          <x14:formula1>
            <xm:f>Overview!$B$2:$B$13</xm:f>
          </x14:formula1>
          <xm:sqref>B1:M1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00C62-54CF-7D43-BCDE-BAFCCE193A5E}">
  <dimension ref="A1:M15"/>
  <sheetViews>
    <sheetView tabSelected="1" workbookViewId="0">
      <selection activeCell="F22" sqref="F22"/>
    </sheetView>
  </sheetViews>
  <sheetFormatPr baseColWidth="10" defaultRowHeight="15" x14ac:dyDescent="0.2"/>
  <sheetData>
    <row r="1" spans="1:13" x14ac:dyDescent="0.2">
      <c r="A1" s="14">
        <v>2024</v>
      </c>
      <c r="B1" s="15" t="s">
        <v>274</v>
      </c>
      <c r="C1" s="15" t="s">
        <v>280</v>
      </c>
      <c r="D1" s="15" t="s">
        <v>275</v>
      </c>
      <c r="E1" s="15" t="s">
        <v>276</v>
      </c>
      <c r="F1" s="15" t="s">
        <v>277</v>
      </c>
      <c r="G1" s="15" t="s">
        <v>281</v>
      </c>
      <c r="H1" s="15" t="s">
        <v>278</v>
      </c>
      <c r="I1" s="15" t="s">
        <v>282</v>
      </c>
      <c r="J1" s="15" t="s">
        <v>286</v>
      </c>
      <c r="K1" s="15" t="s">
        <v>273</v>
      </c>
      <c r="L1" s="15" t="s">
        <v>272</v>
      </c>
      <c r="M1" s="16" t="s">
        <v>279</v>
      </c>
    </row>
    <row r="2" spans="1:13" x14ac:dyDescent="0.2">
      <c r="A2" s="17">
        <v>1</v>
      </c>
      <c r="B2" s="18" t="s">
        <v>19</v>
      </c>
      <c r="C2" s="18" t="s">
        <v>19</v>
      </c>
      <c r="D2" s="18" t="s">
        <v>19</v>
      </c>
      <c r="E2" s="18" t="s">
        <v>17</v>
      </c>
      <c r="F2" s="18" t="s">
        <v>17</v>
      </c>
      <c r="G2" s="18" t="s">
        <v>17</v>
      </c>
      <c r="H2" s="18" t="s">
        <v>17</v>
      </c>
      <c r="I2" s="18" t="s">
        <v>17</v>
      </c>
      <c r="J2" s="18" t="s">
        <v>17</v>
      </c>
      <c r="K2" s="18" t="s">
        <v>19</v>
      </c>
      <c r="L2" s="18" t="s">
        <v>19</v>
      </c>
      <c r="M2" s="19" t="s">
        <v>53</v>
      </c>
    </row>
    <row r="3" spans="1:13" x14ac:dyDescent="0.2">
      <c r="A3" s="20">
        <v>2</v>
      </c>
      <c r="B3" s="21" t="s">
        <v>17</v>
      </c>
      <c r="C3" s="21" t="s">
        <v>17</v>
      </c>
      <c r="D3" s="21" t="s">
        <v>19</v>
      </c>
      <c r="E3" s="21" t="s">
        <v>19</v>
      </c>
      <c r="F3" s="21" t="s">
        <v>17</v>
      </c>
      <c r="G3" s="21" t="s">
        <v>17</v>
      </c>
      <c r="H3" s="21" t="s">
        <v>43</v>
      </c>
      <c r="I3" s="21" t="s">
        <v>19</v>
      </c>
      <c r="J3" s="21" t="s">
        <v>19</v>
      </c>
      <c r="K3" s="21" t="s">
        <v>19</v>
      </c>
      <c r="L3" s="21" t="s">
        <v>17</v>
      </c>
      <c r="M3" s="22" t="s">
        <v>17</v>
      </c>
    </row>
    <row r="4" spans="1:13" x14ac:dyDescent="0.2">
      <c r="A4" s="17">
        <v>3</v>
      </c>
      <c r="B4" s="18" t="s">
        <v>19</v>
      </c>
      <c r="C4" s="18" t="s">
        <v>19</v>
      </c>
      <c r="D4" s="18" t="s">
        <v>19</v>
      </c>
      <c r="E4" s="18" t="s">
        <v>53</v>
      </c>
      <c r="F4" s="18" t="s">
        <v>17</v>
      </c>
      <c r="G4" s="18" t="s">
        <v>53</v>
      </c>
      <c r="H4" s="18" t="s">
        <v>43</v>
      </c>
      <c r="I4" s="18" t="s">
        <v>43</v>
      </c>
      <c r="J4" s="18" t="s">
        <v>17</v>
      </c>
      <c r="K4" s="18" t="s">
        <v>17</v>
      </c>
      <c r="L4" s="18" t="s">
        <v>17</v>
      </c>
      <c r="M4" s="19" t="s">
        <v>284</v>
      </c>
    </row>
    <row r="5" spans="1:13" x14ac:dyDescent="0.2">
      <c r="A5" s="20">
        <v>4</v>
      </c>
      <c r="B5" s="21" t="s">
        <v>43</v>
      </c>
      <c r="C5" s="21" t="s">
        <v>17</v>
      </c>
      <c r="D5" s="21" t="s">
        <v>17</v>
      </c>
      <c r="E5" s="21" t="s">
        <v>19</v>
      </c>
      <c r="F5" s="21" t="s">
        <v>19</v>
      </c>
      <c r="G5" s="21" t="s">
        <v>17</v>
      </c>
      <c r="H5" s="21" t="s">
        <v>19</v>
      </c>
      <c r="I5" s="21" t="s">
        <v>19</v>
      </c>
      <c r="J5" s="21" t="s">
        <v>17</v>
      </c>
      <c r="K5" s="21" t="s">
        <v>17</v>
      </c>
      <c r="L5" s="21" t="s">
        <v>53</v>
      </c>
      <c r="M5" s="22" t="s">
        <v>43</v>
      </c>
    </row>
    <row r="6" spans="1:13" x14ac:dyDescent="0.2">
      <c r="A6" s="17">
        <v>5</v>
      </c>
      <c r="B6" s="18" t="s">
        <v>17</v>
      </c>
      <c r="C6" s="18" t="s">
        <v>43</v>
      </c>
      <c r="D6" s="18" t="s">
        <v>17</v>
      </c>
      <c r="E6" s="18" t="s">
        <v>19</v>
      </c>
      <c r="F6" s="18" t="s">
        <v>17</v>
      </c>
      <c r="G6" s="18" t="s">
        <v>19</v>
      </c>
      <c r="H6" s="18" t="s">
        <v>53</v>
      </c>
      <c r="I6" s="18" t="s">
        <v>53</v>
      </c>
      <c r="J6" s="18" t="s">
        <v>19</v>
      </c>
      <c r="K6" s="18" t="s">
        <v>53</v>
      </c>
      <c r="L6" s="18" t="s">
        <v>19</v>
      </c>
      <c r="M6" s="19" t="s">
        <v>17</v>
      </c>
    </row>
    <row r="7" spans="1:13" x14ac:dyDescent="0.2">
      <c r="A7" s="20">
        <v>6</v>
      </c>
      <c r="B7" s="21" t="s">
        <v>17</v>
      </c>
      <c r="C7" s="21" t="s">
        <v>53</v>
      </c>
      <c r="D7" s="21" t="s">
        <v>17</v>
      </c>
      <c r="E7" s="21" t="s">
        <v>17</v>
      </c>
      <c r="F7" s="21" t="s">
        <v>284</v>
      </c>
      <c r="G7" s="21" t="s">
        <v>43</v>
      </c>
      <c r="H7" s="21" t="s">
        <v>19</v>
      </c>
      <c r="I7" s="21" t="s">
        <v>284</v>
      </c>
      <c r="J7" s="21" t="s">
        <v>53</v>
      </c>
      <c r="K7" s="21" t="s">
        <v>17</v>
      </c>
      <c r="L7" s="21" t="s">
        <v>19</v>
      </c>
      <c r="M7" s="22" t="s">
        <v>19</v>
      </c>
    </row>
    <row r="8" spans="1:13" x14ac:dyDescent="0.2">
      <c r="A8" s="17">
        <v>7</v>
      </c>
      <c r="B8" s="18" t="s">
        <v>53</v>
      </c>
      <c r="C8" s="18" t="s">
        <v>17</v>
      </c>
      <c r="D8" s="18" t="s">
        <v>6</v>
      </c>
      <c r="E8" s="18" t="s">
        <v>43</v>
      </c>
      <c r="F8" s="18" t="s">
        <v>6</v>
      </c>
      <c r="G8" s="18" t="s">
        <v>19</v>
      </c>
      <c r="H8" s="18" t="s">
        <v>17</v>
      </c>
      <c r="I8" s="18" t="s">
        <v>17</v>
      </c>
      <c r="J8" s="18" t="s">
        <v>43</v>
      </c>
      <c r="K8" s="18" t="s">
        <v>17</v>
      </c>
      <c r="L8" s="18" t="s">
        <v>19</v>
      </c>
      <c r="M8" s="19" t="s">
        <v>17</v>
      </c>
    </row>
    <row r="9" spans="1:13" x14ac:dyDescent="0.2">
      <c r="A9" s="20">
        <v>8</v>
      </c>
      <c r="B9" s="21" t="s">
        <v>17</v>
      </c>
      <c r="C9" s="21" t="s">
        <v>19</v>
      </c>
      <c r="D9" s="21" t="s">
        <v>284</v>
      </c>
      <c r="E9" s="21" t="s">
        <v>17</v>
      </c>
      <c r="F9" s="21" t="s">
        <v>53</v>
      </c>
      <c r="G9" s="21" t="s">
        <v>17</v>
      </c>
      <c r="H9" s="21" t="s">
        <v>284</v>
      </c>
      <c r="I9" s="21" t="s">
        <v>19</v>
      </c>
      <c r="J9" s="21" t="s">
        <v>19</v>
      </c>
      <c r="K9" s="21" t="s">
        <v>43</v>
      </c>
      <c r="L9" s="21" t="s">
        <v>19</v>
      </c>
      <c r="M9" s="22" t="s">
        <v>17</v>
      </c>
    </row>
    <row r="10" spans="1:13" x14ac:dyDescent="0.2">
      <c r="A10" s="17">
        <v>9</v>
      </c>
      <c r="B10" s="18" t="s">
        <v>19</v>
      </c>
      <c r="C10" s="18" t="s">
        <v>284</v>
      </c>
      <c r="D10" s="18" t="s">
        <v>19</v>
      </c>
      <c r="E10" s="18" t="s">
        <v>19</v>
      </c>
      <c r="F10" s="18" t="s">
        <v>17</v>
      </c>
      <c r="G10" s="18" t="s">
        <v>19</v>
      </c>
      <c r="H10" s="18" t="s">
        <v>6</v>
      </c>
      <c r="I10" s="18" t="s">
        <v>53</v>
      </c>
      <c r="J10" s="18" t="s">
        <v>17</v>
      </c>
      <c r="K10" s="18" t="s">
        <v>284</v>
      </c>
      <c r="L10" s="18" t="s">
        <v>284</v>
      </c>
      <c r="M10" s="19" t="s">
        <v>43</v>
      </c>
    </row>
    <row r="11" spans="1:13" x14ac:dyDescent="0.2">
      <c r="A11" s="20">
        <v>10</v>
      </c>
      <c r="B11" s="21" t="s">
        <v>53</v>
      </c>
      <c r="C11" s="21" t="s">
        <v>17</v>
      </c>
      <c r="D11" s="21" t="s">
        <v>17</v>
      </c>
      <c r="E11" s="21" t="s">
        <v>17</v>
      </c>
      <c r="F11" s="21" t="s">
        <v>17</v>
      </c>
      <c r="G11" s="21" t="s">
        <v>284</v>
      </c>
      <c r="H11" s="21" t="s">
        <v>53</v>
      </c>
      <c r="I11" s="21" t="s">
        <v>17</v>
      </c>
      <c r="J11" s="21" t="s">
        <v>19</v>
      </c>
      <c r="K11" s="21" t="s">
        <v>19</v>
      </c>
      <c r="L11" s="21" t="s">
        <v>17</v>
      </c>
      <c r="M11" s="22" t="s">
        <v>53</v>
      </c>
    </row>
    <row r="12" spans="1:13" x14ac:dyDescent="0.2">
      <c r="A12" s="17">
        <v>11</v>
      </c>
      <c r="B12" s="18" t="s">
        <v>284</v>
      </c>
      <c r="C12" s="18" t="s">
        <v>19</v>
      </c>
      <c r="D12" s="18" t="s">
        <v>19</v>
      </c>
      <c r="E12" s="18" t="s">
        <v>43</v>
      </c>
      <c r="F12" s="18" t="s">
        <v>53</v>
      </c>
      <c r="G12" s="18" t="s">
        <v>17</v>
      </c>
      <c r="H12" s="18" t="s">
        <v>284</v>
      </c>
      <c r="I12" s="18" t="s">
        <v>284</v>
      </c>
      <c r="J12" s="18" t="s">
        <v>284</v>
      </c>
      <c r="K12" s="18" t="s">
        <v>17</v>
      </c>
      <c r="L12" s="18" t="s">
        <v>19</v>
      </c>
      <c r="M12" s="19" t="s">
        <v>19</v>
      </c>
    </row>
    <row r="13" spans="1:13" x14ac:dyDescent="0.2">
      <c r="A13" s="20">
        <v>12</v>
      </c>
      <c r="B13" s="21" t="s">
        <v>43</v>
      </c>
      <c r="C13" s="21" t="s">
        <v>17</v>
      </c>
      <c r="D13" s="21" t="s">
        <v>19</v>
      </c>
      <c r="E13" s="21" t="s">
        <v>17</v>
      </c>
      <c r="F13" s="21" t="s">
        <v>17</v>
      </c>
      <c r="G13" s="21" t="s">
        <v>284</v>
      </c>
      <c r="H13" s="21" t="s">
        <v>19</v>
      </c>
      <c r="I13" s="21" t="s">
        <v>6</v>
      </c>
      <c r="J13" s="21" t="s">
        <v>6</v>
      </c>
      <c r="K13" s="21" t="s">
        <v>6</v>
      </c>
      <c r="L13" s="21" t="s">
        <v>6</v>
      </c>
      <c r="M13" s="22" t="s">
        <v>284</v>
      </c>
    </row>
    <row r="14" spans="1:13" x14ac:dyDescent="0.2">
      <c r="A14" s="17">
        <v>13</v>
      </c>
      <c r="B14" s="18" t="s">
        <v>6</v>
      </c>
      <c r="C14" s="18" t="s">
        <v>19</v>
      </c>
      <c r="D14" s="18" t="s">
        <v>284</v>
      </c>
      <c r="E14" s="18" t="s">
        <v>17</v>
      </c>
      <c r="F14" s="18" t="s">
        <v>17</v>
      </c>
      <c r="G14" s="18" t="s">
        <v>43</v>
      </c>
      <c r="H14" s="18" t="s">
        <v>6</v>
      </c>
      <c r="I14" s="18" t="s">
        <v>43</v>
      </c>
      <c r="J14" s="18" t="s">
        <v>6</v>
      </c>
      <c r="K14" s="18" t="s">
        <v>6</v>
      </c>
      <c r="L14" s="18" t="s">
        <v>19</v>
      </c>
      <c r="M14" s="19" t="s">
        <v>284</v>
      </c>
    </row>
    <row r="15" spans="1:13" x14ac:dyDescent="0.2">
      <c r="A15" s="4">
        <v>14</v>
      </c>
      <c r="B15" s="5" t="s">
        <v>17</v>
      </c>
      <c r="C15" s="5" t="s">
        <v>6</v>
      </c>
      <c r="D15" s="5" t="s">
        <v>17</v>
      </c>
      <c r="E15" s="5" t="s">
        <v>53</v>
      </c>
      <c r="F15" s="5" t="s">
        <v>6</v>
      </c>
      <c r="G15" s="5" t="s">
        <v>43</v>
      </c>
      <c r="H15" s="5" t="s">
        <v>19</v>
      </c>
      <c r="I15" s="5" t="s">
        <v>17</v>
      </c>
      <c r="J15" s="5" t="s">
        <v>19</v>
      </c>
      <c r="K15" s="5" t="s">
        <v>17</v>
      </c>
      <c r="L15" s="5" t="s">
        <v>6</v>
      </c>
      <c r="M15" s="6" t="s">
        <v>43</v>
      </c>
    </row>
  </sheetData>
  <dataValidations count="1">
    <dataValidation type="list" allowBlank="1" showInputMessage="1" showErrorMessage="1" sqref="B2:M15" xr:uid="{49C062BD-1444-FF49-A29A-9C25A817956D}">
      <formula1>"QB, WR, RB, TE, K, DEF"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2EAD13-7907-834F-B863-020E64200CFE}">
          <x14:formula1>
            <xm:f>Overview!$B$2:$B$13</xm:f>
          </x14:formula1>
          <xm:sqref>B1:M1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134C6-0DD8-5745-A103-451B9E94ABD7}">
  <dimension ref="A1:M15"/>
  <sheetViews>
    <sheetView workbookViewId="0">
      <selection activeCell="D10" sqref="D10"/>
    </sheetView>
  </sheetViews>
  <sheetFormatPr baseColWidth="10" defaultRowHeight="15" x14ac:dyDescent="0.2"/>
  <sheetData>
    <row r="1" spans="1:13" x14ac:dyDescent="0.2">
      <c r="A1" s="14" t="s">
        <v>571</v>
      </c>
      <c r="B1" s="15" t="s">
        <v>286</v>
      </c>
      <c r="C1" s="15" t="s">
        <v>280</v>
      </c>
      <c r="D1" s="15" t="s">
        <v>282</v>
      </c>
      <c r="E1" s="15" t="s">
        <v>275</v>
      </c>
      <c r="F1" s="15" t="s">
        <v>281</v>
      </c>
      <c r="G1" s="15" t="s">
        <v>272</v>
      </c>
      <c r="H1" s="15" t="s">
        <v>279</v>
      </c>
      <c r="I1" s="15" t="s">
        <v>273</v>
      </c>
      <c r="J1" s="15" t="s">
        <v>274</v>
      </c>
      <c r="K1" s="15" t="s">
        <v>277</v>
      </c>
      <c r="L1" s="15" t="s">
        <v>276</v>
      </c>
      <c r="M1" s="16" t="s">
        <v>278</v>
      </c>
    </row>
    <row r="2" spans="1:13" x14ac:dyDescent="0.2">
      <c r="A2" s="17">
        <v>1</v>
      </c>
      <c r="B2" s="18" t="s">
        <v>19</v>
      </c>
      <c r="C2" s="18" t="s">
        <v>19</v>
      </c>
      <c r="D2" s="18" t="s">
        <v>19</v>
      </c>
      <c r="E2" s="18" t="s">
        <v>19</v>
      </c>
      <c r="F2" s="18" t="s">
        <v>19</v>
      </c>
      <c r="G2" s="18" t="s">
        <v>17</v>
      </c>
      <c r="H2" s="18" t="s">
        <v>17</v>
      </c>
      <c r="I2" s="18" t="s">
        <v>19</v>
      </c>
      <c r="J2" s="18" t="s">
        <v>19</v>
      </c>
      <c r="K2" s="18" t="s">
        <v>19</v>
      </c>
      <c r="L2" s="18" t="s">
        <v>19</v>
      </c>
      <c r="M2" s="19" t="s">
        <v>19</v>
      </c>
    </row>
    <row r="3" spans="1:13" x14ac:dyDescent="0.2">
      <c r="A3" s="20">
        <v>2</v>
      </c>
      <c r="B3" s="21" t="s">
        <v>19</v>
      </c>
      <c r="C3" s="21" t="s">
        <v>19</v>
      </c>
      <c r="D3" s="21" t="s">
        <v>53</v>
      </c>
      <c r="E3" s="21" t="s">
        <v>19</v>
      </c>
      <c r="F3" s="21" t="s">
        <v>43</v>
      </c>
      <c r="G3" s="21" t="s">
        <v>19</v>
      </c>
      <c r="H3" s="21" t="s">
        <v>19</v>
      </c>
      <c r="I3" s="21" t="s">
        <v>17</v>
      </c>
      <c r="J3" s="21" t="s">
        <v>17</v>
      </c>
      <c r="K3" s="21" t="s">
        <v>17</v>
      </c>
      <c r="L3" s="21" t="s">
        <v>17</v>
      </c>
      <c r="M3" s="22" t="s">
        <v>17</v>
      </c>
    </row>
    <row r="4" spans="1:13" x14ac:dyDescent="0.2">
      <c r="A4" s="17">
        <v>3</v>
      </c>
      <c r="B4" s="18" t="s">
        <v>17</v>
      </c>
      <c r="C4" s="18" t="s">
        <v>17</v>
      </c>
      <c r="D4" s="18" t="s">
        <v>17</v>
      </c>
      <c r="E4" s="18" t="s">
        <v>19</v>
      </c>
      <c r="F4" s="18" t="s">
        <v>19</v>
      </c>
      <c r="G4" s="18" t="s">
        <v>17</v>
      </c>
      <c r="H4" s="18" t="s">
        <v>17</v>
      </c>
      <c r="I4" s="18" t="s">
        <v>17</v>
      </c>
      <c r="J4" s="18" t="s">
        <v>43</v>
      </c>
      <c r="K4" s="18" t="s">
        <v>19</v>
      </c>
      <c r="L4" s="18" t="s">
        <v>17</v>
      </c>
      <c r="M4" s="19" t="s">
        <v>19</v>
      </c>
    </row>
    <row r="5" spans="1:13" x14ac:dyDescent="0.2">
      <c r="A5" s="20">
        <v>4</v>
      </c>
      <c r="B5" s="21" t="s">
        <v>53</v>
      </c>
      <c r="C5" s="21" t="s">
        <v>17</v>
      </c>
      <c r="D5" s="21" t="s">
        <v>17</v>
      </c>
      <c r="E5" s="21" t="s">
        <v>17</v>
      </c>
      <c r="F5" s="21" t="s">
        <v>19</v>
      </c>
      <c r="G5" s="21" t="s">
        <v>19</v>
      </c>
      <c r="H5" s="21" t="s">
        <v>53</v>
      </c>
      <c r="I5" s="21" t="s">
        <v>19</v>
      </c>
      <c r="J5" s="21" t="s">
        <v>19</v>
      </c>
      <c r="K5" s="21" t="s">
        <v>17</v>
      </c>
      <c r="L5" s="21" t="s">
        <v>43</v>
      </c>
      <c r="M5" s="22" t="s">
        <v>17</v>
      </c>
    </row>
    <row r="6" spans="1:13" x14ac:dyDescent="0.2">
      <c r="A6" s="17">
        <v>5</v>
      </c>
      <c r="B6" s="18" t="s">
        <v>17</v>
      </c>
      <c r="C6" s="18" t="s">
        <v>17</v>
      </c>
      <c r="D6" s="18" t="s">
        <v>19</v>
      </c>
      <c r="E6" s="18" t="s">
        <v>17</v>
      </c>
      <c r="F6" s="18" t="s">
        <v>17</v>
      </c>
      <c r="G6" s="18" t="s">
        <v>43</v>
      </c>
      <c r="H6" s="18" t="s">
        <v>19</v>
      </c>
      <c r="I6" s="18" t="s">
        <v>19</v>
      </c>
      <c r="J6" s="18" t="s">
        <v>53</v>
      </c>
      <c r="K6" s="18" t="s">
        <v>53</v>
      </c>
      <c r="L6" s="18" t="s">
        <v>53</v>
      </c>
      <c r="M6" s="19" t="s">
        <v>17</v>
      </c>
    </row>
    <row r="7" spans="1:13" x14ac:dyDescent="0.2">
      <c r="A7" s="20">
        <v>6</v>
      </c>
      <c r="B7" s="21" t="s">
        <v>19</v>
      </c>
      <c r="C7" s="21" t="s">
        <v>43</v>
      </c>
      <c r="D7" s="21" t="s">
        <v>19</v>
      </c>
      <c r="E7" s="21" t="s">
        <v>284</v>
      </c>
      <c r="F7" s="21" t="s">
        <v>284</v>
      </c>
      <c r="G7" s="21" t="s">
        <v>53</v>
      </c>
      <c r="H7" s="21" t="s">
        <v>43</v>
      </c>
      <c r="I7" s="21" t="s">
        <v>53</v>
      </c>
      <c r="J7" s="21" t="s">
        <v>17</v>
      </c>
      <c r="K7" s="21" t="s">
        <v>43</v>
      </c>
      <c r="L7" s="21" t="s">
        <v>19</v>
      </c>
      <c r="M7" s="22" t="s">
        <v>43</v>
      </c>
    </row>
    <row r="8" spans="1:13" x14ac:dyDescent="0.2">
      <c r="A8" s="17">
        <v>7</v>
      </c>
      <c r="B8" s="18" t="s">
        <v>43</v>
      </c>
      <c r="C8" s="18" t="s">
        <v>284</v>
      </c>
      <c r="D8" s="18" t="s">
        <v>43</v>
      </c>
      <c r="E8" s="18" t="s">
        <v>6</v>
      </c>
      <c r="F8" s="18" t="s">
        <v>17</v>
      </c>
      <c r="G8" s="18" t="s">
        <v>284</v>
      </c>
      <c r="H8" s="18" t="s">
        <v>17</v>
      </c>
      <c r="I8" s="18" t="s">
        <v>284</v>
      </c>
      <c r="J8" s="18" t="s">
        <v>6</v>
      </c>
      <c r="K8" s="18" t="s">
        <v>284</v>
      </c>
      <c r="L8" s="18" t="s">
        <v>284</v>
      </c>
      <c r="M8" s="19" t="s">
        <v>53</v>
      </c>
    </row>
    <row r="9" spans="1:13" x14ac:dyDescent="0.2">
      <c r="A9" s="20">
        <v>8</v>
      </c>
      <c r="B9" s="21" t="s">
        <v>6</v>
      </c>
      <c r="C9" s="21" t="s">
        <v>6</v>
      </c>
      <c r="D9" s="21" t="s">
        <v>284</v>
      </c>
      <c r="E9" s="21" t="s">
        <v>43</v>
      </c>
      <c r="F9" s="21" t="s">
        <v>53</v>
      </c>
      <c r="G9" s="21" t="s">
        <v>17</v>
      </c>
      <c r="H9" s="21" t="s">
        <v>6</v>
      </c>
      <c r="I9" s="21" t="s">
        <v>6</v>
      </c>
      <c r="J9" s="21" t="s">
        <v>284</v>
      </c>
      <c r="K9" s="21" t="s">
        <v>17</v>
      </c>
      <c r="L9" s="21" t="s">
        <v>6</v>
      </c>
      <c r="M9" s="22" t="s">
        <v>284</v>
      </c>
    </row>
    <row r="10" spans="1:13" x14ac:dyDescent="0.2">
      <c r="A10" s="17">
        <v>9</v>
      </c>
      <c r="B10" s="18" t="s">
        <v>284</v>
      </c>
      <c r="C10" s="18" t="s">
        <v>53</v>
      </c>
      <c r="D10" s="18" t="s">
        <v>6</v>
      </c>
      <c r="E10" s="18" t="s">
        <v>53</v>
      </c>
      <c r="F10" s="18" t="s">
        <v>6</v>
      </c>
      <c r="G10" s="18" t="s">
        <v>6</v>
      </c>
      <c r="H10" s="18" t="s">
        <v>17</v>
      </c>
      <c r="I10" s="18" t="s">
        <v>43</v>
      </c>
      <c r="J10" s="18" t="s">
        <v>17</v>
      </c>
      <c r="K10" s="18" t="s">
        <v>6</v>
      </c>
      <c r="L10" s="18" t="s">
        <v>17</v>
      </c>
      <c r="M10" s="19" t="s">
        <v>6</v>
      </c>
    </row>
    <row r="11" spans="1:13" x14ac:dyDescent="0.2">
      <c r="A11" s="20">
        <v>10</v>
      </c>
      <c r="B11" s="21" t="s">
        <v>17</v>
      </c>
      <c r="C11" s="21" t="s">
        <v>17</v>
      </c>
      <c r="D11" s="21" t="s">
        <v>17</v>
      </c>
      <c r="E11" s="21" t="s">
        <v>17</v>
      </c>
      <c r="F11" s="21" t="s">
        <v>53</v>
      </c>
      <c r="G11" s="21" t="s">
        <v>19</v>
      </c>
      <c r="H11" s="21" t="s">
        <v>284</v>
      </c>
      <c r="I11" s="21" t="s">
        <v>17</v>
      </c>
      <c r="J11" s="21" t="s">
        <v>17</v>
      </c>
      <c r="K11" s="21" t="s">
        <v>19</v>
      </c>
      <c r="L11" s="21" t="s">
        <v>19</v>
      </c>
      <c r="M11" s="22" t="s">
        <v>19</v>
      </c>
    </row>
    <row r="12" spans="1:13" x14ac:dyDescent="0.2">
      <c r="A12" s="17">
        <v>11</v>
      </c>
      <c r="B12" s="18" t="s">
        <v>19</v>
      </c>
      <c r="C12" s="18" t="s">
        <v>19</v>
      </c>
      <c r="D12" s="18" t="s">
        <v>53</v>
      </c>
      <c r="E12" s="18" t="s">
        <v>19</v>
      </c>
      <c r="F12" s="18" t="s">
        <v>19</v>
      </c>
      <c r="G12" s="18" t="s">
        <v>53</v>
      </c>
      <c r="H12" s="18" t="s">
        <v>19</v>
      </c>
      <c r="I12" s="18" t="s">
        <v>17</v>
      </c>
      <c r="J12" s="18" t="s">
        <v>19</v>
      </c>
      <c r="K12" s="18" t="s">
        <v>17</v>
      </c>
      <c r="L12" s="18" t="s">
        <v>19</v>
      </c>
      <c r="M12" s="19" t="s">
        <v>17</v>
      </c>
    </row>
    <row r="13" spans="1:13" x14ac:dyDescent="0.2">
      <c r="A13" s="20">
        <v>12</v>
      </c>
      <c r="B13" s="21" t="s">
        <v>17</v>
      </c>
      <c r="C13" s="21" t="s">
        <v>17</v>
      </c>
      <c r="D13" s="21" t="s">
        <v>17</v>
      </c>
      <c r="E13" s="21" t="s">
        <v>19</v>
      </c>
      <c r="F13" s="21" t="s">
        <v>17</v>
      </c>
      <c r="G13" s="21" t="s">
        <v>17</v>
      </c>
      <c r="H13" s="21" t="s">
        <v>17</v>
      </c>
      <c r="I13" s="21" t="s">
        <v>19</v>
      </c>
      <c r="J13" s="21" t="s">
        <v>43</v>
      </c>
      <c r="K13" s="21" t="s">
        <v>284</v>
      </c>
      <c r="L13" s="21" t="s">
        <v>53</v>
      </c>
      <c r="M13" s="22" t="s">
        <v>53</v>
      </c>
    </row>
    <row r="14" spans="1:13" x14ac:dyDescent="0.2">
      <c r="A14" s="17">
        <v>13</v>
      </c>
      <c r="B14" s="18" t="s">
        <v>53</v>
      </c>
      <c r="C14" s="18" t="s">
        <v>53</v>
      </c>
      <c r="D14" s="18" t="s">
        <v>17</v>
      </c>
      <c r="E14" s="18" t="s">
        <v>43</v>
      </c>
      <c r="F14" s="18" t="s">
        <v>17</v>
      </c>
      <c r="G14" s="18" t="s">
        <v>19</v>
      </c>
      <c r="H14" s="18" t="s">
        <v>43</v>
      </c>
      <c r="I14" s="18" t="s">
        <v>19</v>
      </c>
      <c r="J14" s="18" t="s">
        <v>53</v>
      </c>
      <c r="K14" s="18" t="s">
        <v>19</v>
      </c>
      <c r="L14" s="18" t="s">
        <v>284</v>
      </c>
      <c r="M14" s="19" t="s">
        <v>19</v>
      </c>
    </row>
    <row r="15" spans="1:13" x14ac:dyDescent="0.2">
      <c r="A15" s="4">
        <v>14</v>
      </c>
      <c r="B15" s="5" t="s">
        <v>17</v>
      </c>
      <c r="C15" s="5" t="s">
        <v>43</v>
      </c>
      <c r="D15" s="5" t="s">
        <v>284</v>
      </c>
      <c r="E15" s="5" t="s">
        <v>53</v>
      </c>
      <c r="F15" s="5" t="s">
        <v>284</v>
      </c>
      <c r="G15" s="5" t="s">
        <v>19</v>
      </c>
      <c r="H15" s="5" t="s">
        <v>6</v>
      </c>
      <c r="I15" s="5" t="s">
        <v>53</v>
      </c>
      <c r="J15" s="5" t="s">
        <v>17</v>
      </c>
      <c r="K15" s="5" t="s">
        <v>53</v>
      </c>
      <c r="L15" s="5" t="s">
        <v>6</v>
      </c>
      <c r="M15" s="6" t="s">
        <v>17</v>
      </c>
    </row>
  </sheetData>
  <dataValidations count="1">
    <dataValidation type="list" allowBlank="1" showInputMessage="1" showErrorMessage="1" sqref="B2:M15" xr:uid="{FF98CF59-C89A-FC4E-8632-89DBE06965C7}">
      <formula1>"QB, WR, RB, TE, K, DEF"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E8324B-0EC0-6E41-9058-11AF477D8D57}">
          <x14:formula1>
            <xm:f>Overview!$B$2:$B$13</xm:f>
          </x14:formula1>
          <xm:sqref>B1:M1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D11A5-2FCC-234D-813B-8F5F1D988095}">
  <dimension ref="A1:M15"/>
  <sheetViews>
    <sheetView workbookViewId="0">
      <selection sqref="A1:M15"/>
    </sheetView>
  </sheetViews>
  <sheetFormatPr baseColWidth="10" defaultRowHeight="15" x14ac:dyDescent="0.2"/>
  <sheetData>
    <row r="1" spans="1:13" x14ac:dyDescent="0.2">
      <c r="A1" s="14" t="s">
        <v>570</v>
      </c>
      <c r="B1" s="15" t="s">
        <v>273</v>
      </c>
      <c r="C1" s="15" t="s">
        <v>282</v>
      </c>
      <c r="D1" s="15" t="s">
        <v>275</v>
      </c>
      <c r="E1" s="15" t="s">
        <v>274</v>
      </c>
      <c r="F1" s="15" t="s">
        <v>276</v>
      </c>
      <c r="G1" s="15" t="s">
        <v>277</v>
      </c>
      <c r="H1" s="15" t="s">
        <v>281</v>
      </c>
      <c r="I1" s="15" t="s">
        <v>279</v>
      </c>
      <c r="J1" s="15" t="s">
        <v>280</v>
      </c>
      <c r="K1" s="15" t="s">
        <v>272</v>
      </c>
      <c r="L1" s="15" t="s">
        <v>286</v>
      </c>
      <c r="M1" s="16" t="s">
        <v>278</v>
      </c>
    </row>
    <row r="2" spans="1:13" x14ac:dyDescent="0.2">
      <c r="A2" s="17">
        <v>1</v>
      </c>
      <c r="B2" s="18" t="s">
        <v>19</v>
      </c>
      <c r="C2" s="18" t="s">
        <v>19</v>
      </c>
      <c r="D2" s="18" t="s">
        <v>19</v>
      </c>
      <c r="E2" s="18" t="s">
        <v>17</v>
      </c>
      <c r="F2" s="18" t="s">
        <v>17</v>
      </c>
      <c r="G2" s="18" t="s">
        <v>19</v>
      </c>
      <c r="H2" s="18" t="s">
        <v>17</v>
      </c>
      <c r="I2" s="18" t="s">
        <v>53</v>
      </c>
      <c r="J2" s="18" t="s">
        <v>17</v>
      </c>
      <c r="K2" s="18" t="s">
        <v>17</v>
      </c>
      <c r="L2" s="18" t="s">
        <v>17</v>
      </c>
      <c r="M2" s="19" t="s">
        <v>19</v>
      </c>
    </row>
    <row r="3" spans="1:13" x14ac:dyDescent="0.2">
      <c r="A3" s="20">
        <v>2</v>
      </c>
      <c r="B3" s="21" t="s">
        <v>17</v>
      </c>
      <c r="C3" s="21" t="s">
        <v>17</v>
      </c>
      <c r="D3" s="21" t="s">
        <v>19</v>
      </c>
      <c r="E3" s="21" t="s">
        <v>19</v>
      </c>
      <c r="F3" s="21" t="s">
        <v>19</v>
      </c>
      <c r="G3" s="21" t="s">
        <v>19</v>
      </c>
      <c r="H3" s="21" t="s">
        <v>19</v>
      </c>
      <c r="I3" s="21" t="s">
        <v>19</v>
      </c>
      <c r="J3" s="21" t="s">
        <v>53</v>
      </c>
      <c r="K3" s="21" t="s">
        <v>19</v>
      </c>
      <c r="L3" s="21" t="s">
        <v>19</v>
      </c>
      <c r="M3" s="22" t="s">
        <v>19</v>
      </c>
    </row>
    <row r="4" spans="1:13" x14ac:dyDescent="0.2">
      <c r="A4" s="17">
        <v>3</v>
      </c>
      <c r="B4" s="18" t="s">
        <v>19</v>
      </c>
      <c r="C4" s="18" t="s">
        <v>17</v>
      </c>
      <c r="D4" s="18" t="s">
        <v>53</v>
      </c>
      <c r="E4" s="18" t="s">
        <v>43</v>
      </c>
      <c r="F4" s="18" t="s">
        <v>17</v>
      </c>
      <c r="G4" s="18" t="s">
        <v>17</v>
      </c>
      <c r="H4" s="18" t="s">
        <v>53</v>
      </c>
      <c r="I4" s="18" t="s">
        <v>17</v>
      </c>
      <c r="J4" s="18" t="s">
        <v>19</v>
      </c>
      <c r="K4" s="18" t="s">
        <v>17</v>
      </c>
      <c r="L4" s="18" t="s">
        <v>19</v>
      </c>
      <c r="M4" s="19" t="s">
        <v>17</v>
      </c>
    </row>
    <row r="5" spans="1:13" x14ac:dyDescent="0.2">
      <c r="A5" s="20">
        <v>4</v>
      </c>
      <c r="B5" s="21" t="s">
        <v>17</v>
      </c>
      <c r="C5" s="21" t="s">
        <v>43</v>
      </c>
      <c r="D5" s="21" t="s">
        <v>17</v>
      </c>
      <c r="E5" s="21" t="s">
        <v>53</v>
      </c>
      <c r="F5" s="21" t="s">
        <v>19</v>
      </c>
      <c r="G5" s="21" t="s">
        <v>17</v>
      </c>
      <c r="H5" s="21" t="s">
        <v>19</v>
      </c>
      <c r="I5" s="21" t="s">
        <v>17</v>
      </c>
      <c r="J5" s="21" t="s">
        <v>17</v>
      </c>
      <c r="K5" s="21" t="s">
        <v>53</v>
      </c>
      <c r="L5" s="21" t="s">
        <v>17</v>
      </c>
      <c r="M5" s="22" t="s">
        <v>17</v>
      </c>
    </row>
    <row r="6" spans="1:13" x14ac:dyDescent="0.2">
      <c r="A6" s="17">
        <v>5</v>
      </c>
      <c r="B6" s="18" t="s">
        <v>43</v>
      </c>
      <c r="C6" s="18" t="s">
        <v>19</v>
      </c>
      <c r="D6" s="18" t="s">
        <v>43</v>
      </c>
      <c r="E6" s="18" t="s">
        <v>19</v>
      </c>
      <c r="F6" s="18" t="s">
        <v>53</v>
      </c>
      <c r="G6" s="18" t="s">
        <v>43</v>
      </c>
      <c r="H6" s="18" t="s">
        <v>43</v>
      </c>
      <c r="I6" s="18" t="s">
        <v>17</v>
      </c>
      <c r="J6" s="18" t="s">
        <v>19</v>
      </c>
      <c r="K6" s="18" t="s">
        <v>19</v>
      </c>
      <c r="L6" s="18" t="s">
        <v>17</v>
      </c>
      <c r="M6" s="19" t="s">
        <v>17</v>
      </c>
    </row>
    <row r="7" spans="1:13" x14ac:dyDescent="0.2">
      <c r="A7" s="20">
        <v>6</v>
      </c>
      <c r="B7" s="21" t="s">
        <v>19</v>
      </c>
      <c r="C7" s="21" t="s">
        <v>17</v>
      </c>
      <c r="D7" s="21" t="s">
        <v>284</v>
      </c>
      <c r="E7" s="21" t="s">
        <v>17</v>
      </c>
      <c r="F7" s="21" t="s">
        <v>17</v>
      </c>
      <c r="G7" s="21" t="s">
        <v>17</v>
      </c>
      <c r="H7" s="21" t="s">
        <v>19</v>
      </c>
      <c r="I7" s="21" t="s">
        <v>19</v>
      </c>
      <c r="J7" s="21" t="s">
        <v>43</v>
      </c>
      <c r="K7" s="21" t="s">
        <v>43</v>
      </c>
      <c r="L7" s="21" t="s">
        <v>53</v>
      </c>
      <c r="M7" s="22" t="s">
        <v>43</v>
      </c>
    </row>
    <row r="8" spans="1:13" x14ac:dyDescent="0.2">
      <c r="A8" s="17">
        <v>7</v>
      </c>
      <c r="B8" s="18" t="s">
        <v>53</v>
      </c>
      <c r="C8" s="18" t="s">
        <v>284</v>
      </c>
      <c r="D8" s="18" t="s">
        <v>17</v>
      </c>
      <c r="E8" s="18" t="s">
        <v>284</v>
      </c>
      <c r="F8" s="18" t="s">
        <v>284</v>
      </c>
      <c r="G8" s="18" t="s">
        <v>53</v>
      </c>
      <c r="H8" s="18" t="s">
        <v>284</v>
      </c>
      <c r="I8" s="18" t="s">
        <v>284</v>
      </c>
      <c r="J8" s="18" t="s">
        <v>6</v>
      </c>
      <c r="K8" s="18" t="s">
        <v>284</v>
      </c>
      <c r="L8" s="18" t="s">
        <v>43</v>
      </c>
      <c r="M8" s="19" t="s">
        <v>6</v>
      </c>
    </row>
    <row r="9" spans="1:13" x14ac:dyDescent="0.2">
      <c r="A9" s="20">
        <v>8</v>
      </c>
      <c r="B9" s="21" t="s">
        <v>284</v>
      </c>
      <c r="C9" s="21" t="s">
        <v>6</v>
      </c>
      <c r="D9" s="21" t="s">
        <v>17</v>
      </c>
      <c r="E9" s="21" t="s">
        <v>6</v>
      </c>
      <c r="F9" s="21" t="s">
        <v>43</v>
      </c>
      <c r="G9" s="21" t="s">
        <v>284</v>
      </c>
      <c r="H9" s="21" t="s">
        <v>6</v>
      </c>
      <c r="I9" s="21" t="s">
        <v>6</v>
      </c>
      <c r="J9" s="21" t="s">
        <v>17</v>
      </c>
      <c r="K9" s="21" t="s">
        <v>17</v>
      </c>
      <c r="L9" s="21" t="s">
        <v>6</v>
      </c>
      <c r="M9" s="22" t="s">
        <v>53</v>
      </c>
    </row>
    <row r="10" spans="1:13" x14ac:dyDescent="0.2">
      <c r="A10" s="17">
        <v>9</v>
      </c>
      <c r="B10" s="18" t="s">
        <v>6</v>
      </c>
      <c r="C10" s="18" t="s">
        <v>53</v>
      </c>
      <c r="D10" s="18" t="s">
        <v>6</v>
      </c>
      <c r="E10" s="18" t="s">
        <v>19</v>
      </c>
      <c r="F10" s="18" t="s">
        <v>6</v>
      </c>
      <c r="G10" s="18" t="s">
        <v>6</v>
      </c>
      <c r="H10" s="18" t="s">
        <v>17</v>
      </c>
      <c r="I10" s="18" t="s">
        <v>43</v>
      </c>
      <c r="J10" s="18" t="s">
        <v>284</v>
      </c>
      <c r="K10" s="18" t="s">
        <v>6</v>
      </c>
      <c r="L10" s="18" t="s">
        <v>284</v>
      </c>
      <c r="M10" s="19" t="s">
        <v>284</v>
      </c>
    </row>
    <row r="11" spans="1:13" x14ac:dyDescent="0.2">
      <c r="A11" s="20">
        <v>10</v>
      </c>
      <c r="B11" s="21" t="s">
        <v>19</v>
      </c>
      <c r="C11" s="21" t="s">
        <v>17</v>
      </c>
      <c r="D11" s="21" t="s">
        <v>19</v>
      </c>
      <c r="E11" s="21" t="s">
        <v>19</v>
      </c>
      <c r="F11" s="21" t="s">
        <v>17</v>
      </c>
      <c r="G11" s="21" t="s">
        <v>19</v>
      </c>
      <c r="H11" s="21" t="s">
        <v>17</v>
      </c>
      <c r="I11" s="21" t="s">
        <v>53</v>
      </c>
      <c r="J11" s="21" t="s">
        <v>17</v>
      </c>
      <c r="K11" s="21" t="s">
        <v>43</v>
      </c>
      <c r="L11" s="21" t="s">
        <v>17</v>
      </c>
      <c r="M11" s="22" t="s">
        <v>19</v>
      </c>
    </row>
    <row r="12" spans="1:13" x14ac:dyDescent="0.2">
      <c r="A12" s="17">
        <v>11</v>
      </c>
      <c r="B12" s="18" t="s">
        <v>17</v>
      </c>
      <c r="C12" s="18" t="s">
        <v>53</v>
      </c>
      <c r="D12" s="18" t="s">
        <v>19</v>
      </c>
      <c r="E12" s="18" t="s">
        <v>53</v>
      </c>
      <c r="F12" s="18" t="s">
        <v>19</v>
      </c>
      <c r="G12" s="18" t="s">
        <v>17</v>
      </c>
      <c r="H12" s="18" t="s">
        <v>19</v>
      </c>
      <c r="I12" s="18" t="s">
        <v>43</v>
      </c>
      <c r="J12" s="18" t="s">
        <v>19</v>
      </c>
      <c r="K12" s="18" t="s">
        <v>17</v>
      </c>
      <c r="L12" s="18" t="s">
        <v>19</v>
      </c>
      <c r="M12" s="19" t="s">
        <v>17</v>
      </c>
    </row>
    <row r="13" spans="1:13" x14ac:dyDescent="0.2">
      <c r="A13" s="20">
        <v>12</v>
      </c>
      <c r="B13" s="21" t="s">
        <v>19</v>
      </c>
      <c r="C13" s="21" t="s">
        <v>19</v>
      </c>
      <c r="D13" s="21" t="s">
        <v>284</v>
      </c>
      <c r="E13" s="21" t="s">
        <v>17</v>
      </c>
      <c r="F13" s="21" t="s">
        <v>43</v>
      </c>
      <c r="G13" s="21" t="s">
        <v>19</v>
      </c>
      <c r="H13" s="21" t="s">
        <v>284</v>
      </c>
      <c r="I13" s="21" t="s">
        <v>19</v>
      </c>
      <c r="J13" s="21" t="s">
        <v>43</v>
      </c>
      <c r="K13" s="21" t="s">
        <v>19</v>
      </c>
      <c r="L13" s="21" t="s">
        <v>19</v>
      </c>
      <c r="M13" s="22" t="s">
        <v>19</v>
      </c>
    </row>
    <row r="14" spans="1:13" x14ac:dyDescent="0.2">
      <c r="A14" s="17">
        <v>13</v>
      </c>
      <c r="B14" s="18" t="s">
        <v>17</v>
      </c>
      <c r="C14" s="18" t="s">
        <v>19</v>
      </c>
      <c r="D14" s="18" t="s">
        <v>17</v>
      </c>
      <c r="E14" s="18" t="s">
        <v>19</v>
      </c>
      <c r="F14" s="18" t="s">
        <v>53</v>
      </c>
      <c r="G14" s="18" t="s">
        <v>53</v>
      </c>
      <c r="H14" s="18" t="s">
        <v>17</v>
      </c>
      <c r="I14" s="18" t="s">
        <v>284</v>
      </c>
      <c r="J14" s="18" t="s">
        <v>53</v>
      </c>
      <c r="K14" s="18" t="s">
        <v>17</v>
      </c>
      <c r="L14" s="18" t="s">
        <v>17</v>
      </c>
      <c r="M14" s="19" t="s">
        <v>17</v>
      </c>
    </row>
    <row r="15" spans="1:13" x14ac:dyDescent="0.2">
      <c r="A15" s="4">
        <v>14</v>
      </c>
      <c r="B15" s="5" t="s">
        <v>43</v>
      </c>
      <c r="C15" s="5" t="s">
        <v>17</v>
      </c>
      <c r="D15" s="5" t="s">
        <v>43</v>
      </c>
      <c r="E15" s="5" t="s">
        <v>43</v>
      </c>
      <c r="F15" s="5" t="s">
        <v>284</v>
      </c>
      <c r="G15" s="5" t="s">
        <v>19</v>
      </c>
      <c r="H15" s="5" t="s">
        <v>53</v>
      </c>
      <c r="I15" s="5" t="s">
        <v>17</v>
      </c>
      <c r="J15" s="5" t="s">
        <v>19</v>
      </c>
      <c r="K15" s="5" t="s">
        <v>19</v>
      </c>
      <c r="L15" s="5" t="s">
        <v>53</v>
      </c>
      <c r="M15" s="6" t="s">
        <v>17</v>
      </c>
    </row>
  </sheetData>
  <dataValidations count="1">
    <dataValidation type="list" allowBlank="1" showInputMessage="1" showErrorMessage="1" sqref="B2:M15" xr:uid="{75EE5769-2D4C-264A-B42B-7EF9FDDCDF24}">
      <formula1>"QB, WR, RB, TE, K, DEF"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7D3EDA-15AA-EF4E-B51D-F66BD1D80D4A}">
          <x14:formula1>
            <xm:f>Overview!$B$2:$B$13</xm:f>
          </x14:formula1>
          <xm:sqref>B1:M1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97E6F-542E-784D-AEF1-946A44D6B619}">
  <dimension ref="A1:M15"/>
  <sheetViews>
    <sheetView workbookViewId="0">
      <selection activeCell="H35" sqref="H35"/>
    </sheetView>
  </sheetViews>
  <sheetFormatPr baseColWidth="10" defaultRowHeight="15" x14ac:dyDescent="0.2"/>
  <sheetData>
    <row r="1" spans="1:13" x14ac:dyDescent="0.2">
      <c r="A1" s="14" t="s">
        <v>569</v>
      </c>
      <c r="B1" s="15" t="s">
        <v>272</v>
      </c>
      <c r="C1" s="15" t="s">
        <v>273</v>
      </c>
      <c r="D1" s="15" t="s">
        <v>286</v>
      </c>
      <c r="E1" s="15" t="s">
        <v>274</v>
      </c>
      <c r="F1" s="15" t="s">
        <v>275</v>
      </c>
      <c r="G1" s="15" t="s">
        <v>276</v>
      </c>
      <c r="H1" s="15" t="s">
        <v>277</v>
      </c>
      <c r="I1" s="15" t="s">
        <v>278</v>
      </c>
      <c r="J1" s="15" t="s">
        <v>279</v>
      </c>
      <c r="K1" s="15" t="s">
        <v>280</v>
      </c>
      <c r="L1" s="15" t="s">
        <v>281</v>
      </c>
      <c r="M1" s="16" t="s">
        <v>282</v>
      </c>
    </row>
    <row r="2" spans="1:13" x14ac:dyDescent="0.2">
      <c r="A2" s="17">
        <v>1</v>
      </c>
      <c r="B2" s="18" t="s">
        <v>17</v>
      </c>
      <c r="C2" s="18" t="s">
        <v>17</v>
      </c>
      <c r="D2" s="18" t="s">
        <v>19</v>
      </c>
      <c r="E2" s="18" t="s">
        <v>19</v>
      </c>
      <c r="F2" s="18" t="s">
        <v>19</v>
      </c>
      <c r="G2" s="18" t="s">
        <v>17</v>
      </c>
      <c r="H2" s="18" t="s">
        <v>19</v>
      </c>
      <c r="I2" s="18" t="s">
        <v>17</v>
      </c>
      <c r="J2" s="18" t="s">
        <v>19</v>
      </c>
      <c r="K2" s="18" t="s">
        <v>43</v>
      </c>
      <c r="L2" s="18" t="s">
        <v>17</v>
      </c>
      <c r="M2" s="19" t="s">
        <v>19</v>
      </c>
    </row>
    <row r="3" spans="1:13" x14ac:dyDescent="0.2">
      <c r="A3" s="20">
        <f>A2+1</f>
        <v>2</v>
      </c>
      <c r="B3" s="21" t="s">
        <v>17</v>
      </c>
      <c r="C3" s="21" t="s">
        <v>19</v>
      </c>
      <c r="D3" s="21" t="s">
        <v>17</v>
      </c>
      <c r="E3" s="21" t="s">
        <v>17</v>
      </c>
      <c r="F3" s="21" t="s">
        <v>19</v>
      </c>
      <c r="G3" s="21" t="s">
        <v>19</v>
      </c>
      <c r="H3" s="21" t="s">
        <v>17</v>
      </c>
      <c r="I3" s="21" t="s">
        <v>17</v>
      </c>
      <c r="J3" s="21" t="s">
        <v>53</v>
      </c>
      <c r="K3" s="21" t="s">
        <v>19</v>
      </c>
      <c r="L3" s="21" t="s">
        <v>19</v>
      </c>
      <c r="M3" s="22" t="s">
        <v>17</v>
      </c>
    </row>
    <row r="4" spans="1:13" x14ac:dyDescent="0.2">
      <c r="A4" s="17">
        <f t="shared" ref="A4:A15" si="0">A3+1</f>
        <v>3</v>
      </c>
      <c r="B4" s="18" t="s">
        <v>19</v>
      </c>
      <c r="C4" s="18" t="s">
        <v>17</v>
      </c>
      <c r="D4" s="18" t="s">
        <v>17</v>
      </c>
      <c r="E4" s="18" t="s">
        <v>53</v>
      </c>
      <c r="F4" s="18" t="s">
        <v>17</v>
      </c>
      <c r="G4" s="18" t="s">
        <v>19</v>
      </c>
      <c r="H4" s="18" t="s">
        <v>19</v>
      </c>
      <c r="I4" s="18" t="s">
        <v>19</v>
      </c>
      <c r="J4" s="18" t="s">
        <v>17</v>
      </c>
      <c r="K4" s="18" t="s">
        <v>17</v>
      </c>
      <c r="L4" s="18" t="s">
        <v>43</v>
      </c>
      <c r="M4" s="19" t="s">
        <v>17</v>
      </c>
    </row>
    <row r="5" spans="1:13" x14ac:dyDescent="0.2">
      <c r="A5" s="20">
        <f t="shared" si="0"/>
        <v>4</v>
      </c>
      <c r="B5" s="21" t="s">
        <v>19</v>
      </c>
      <c r="C5" s="21" t="s">
        <v>43</v>
      </c>
      <c r="D5" s="21" t="s">
        <v>19</v>
      </c>
      <c r="E5" s="21" t="s">
        <v>43</v>
      </c>
      <c r="F5" s="21" t="s">
        <v>17</v>
      </c>
      <c r="G5" s="21" t="s">
        <v>17</v>
      </c>
      <c r="H5" s="21" t="s">
        <v>17</v>
      </c>
      <c r="I5" s="21" t="s">
        <v>19</v>
      </c>
      <c r="J5" s="21" t="s">
        <v>6</v>
      </c>
      <c r="K5" s="21" t="s">
        <v>53</v>
      </c>
      <c r="L5" s="21" t="s">
        <v>19</v>
      </c>
      <c r="M5" s="22" t="s">
        <v>19</v>
      </c>
    </row>
    <row r="6" spans="1:13" x14ac:dyDescent="0.2">
      <c r="A6" s="17">
        <f t="shared" si="0"/>
        <v>5</v>
      </c>
      <c r="B6" s="18" t="s">
        <v>43</v>
      </c>
      <c r="C6" s="18" t="s">
        <v>53</v>
      </c>
      <c r="D6" s="18" t="s">
        <v>53</v>
      </c>
      <c r="E6" s="18" t="s">
        <v>19</v>
      </c>
      <c r="F6" s="18" t="s">
        <v>43</v>
      </c>
      <c r="G6" s="18" t="s">
        <v>53</v>
      </c>
      <c r="H6" s="18" t="s">
        <v>283</v>
      </c>
      <c r="I6" s="18" t="s">
        <v>53</v>
      </c>
      <c r="J6" s="18" t="s">
        <v>284</v>
      </c>
      <c r="K6" s="18" t="s">
        <v>19</v>
      </c>
      <c r="L6" s="18" t="s">
        <v>17</v>
      </c>
      <c r="M6" s="19" t="s">
        <v>17</v>
      </c>
    </row>
    <row r="7" spans="1:13" x14ac:dyDescent="0.2">
      <c r="A7" s="20">
        <f t="shared" si="0"/>
        <v>6</v>
      </c>
      <c r="B7" s="21" t="s">
        <v>53</v>
      </c>
      <c r="C7" s="21" t="s">
        <v>19</v>
      </c>
      <c r="D7" s="21" t="s">
        <v>43</v>
      </c>
      <c r="E7" s="21" t="s">
        <v>17</v>
      </c>
      <c r="F7" s="21" t="s">
        <v>19</v>
      </c>
      <c r="G7" s="21" t="s">
        <v>43</v>
      </c>
      <c r="H7" s="21" t="s">
        <v>53</v>
      </c>
      <c r="I7" s="21" t="s">
        <v>43</v>
      </c>
      <c r="J7" s="21" t="s">
        <v>17</v>
      </c>
      <c r="K7" s="21" t="s">
        <v>17</v>
      </c>
      <c r="L7" s="21" t="s">
        <v>53</v>
      </c>
      <c r="M7" s="22" t="s">
        <v>43</v>
      </c>
    </row>
    <row r="8" spans="1:13" x14ac:dyDescent="0.2">
      <c r="A8" s="17">
        <f t="shared" si="0"/>
        <v>7</v>
      </c>
      <c r="B8" s="18" t="s">
        <v>17</v>
      </c>
      <c r="C8" s="18" t="s">
        <v>17</v>
      </c>
      <c r="D8" s="18" t="s">
        <v>17</v>
      </c>
      <c r="E8" s="18" t="s">
        <v>284</v>
      </c>
      <c r="F8" s="18" t="s">
        <v>284</v>
      </c>
      <c r="G8" s="18" t="s">
        <v>19</v>
      </c>
      <c r="H8" s="18" t="s">
        <v>284</v>
      </c>
      <c r="I8" s="18" t="s">
        <v>19</v>
      </c>
      <c r="J8" s="18" t="s">
        <v>284</v>
      </c>
      <c r="K8" s="18" t="s">
        <v>17</v>
      </c>
      <c r="L8" s="18" t="s">
        <v>17</v>
      </c>
      <c r="M8" s="19" t="s">
        <v>284</v>
      </c>
    </row>
    <row r="9" spans="1:13" x14ac:dyDescent="0.2">
      <c r="A9" s="20">
        <f t="shared" si="0"/>
        <v>8</v>
      </c>
      <c r="B9" s="21" t="s">
        <v>285</v>
      </c>
      <c r="C9" s="21" t="s">
        <v>284</v>
      </c>
      <c r="D9" s="21" t="s">
        <v>284</v>
      </c>
      <c r="E9" s="21" t="s">
        <v>6</v>
      </c>
      <c r="F9" s="21" t="s">
        <v>6</v>
      </c>
      <c r="G9" s="21" t="s">
        <v>284</v>
      </c>
      <c r="H9" s="21" t="s">
        <v>6</v>
      </c>
      <c r="I9" s="21" t="s">
        <v>6</v>
      </c>
      <c r="J9" s="21" t="s">
        <v>19</v>
      </c>
      <c r="K9" s="21" t="s">
        <v>284</v>
      </c>
      <c r="L9" s="21" t="s">
        <v>284</v>
      </c>
      <c r="M9" s="22" t="s">
        <v>6</v>
      </c>
    </row>
    <row r="10" spans="1:13" x14ac:dyDescent="0.2">
      <c r="A10" s="17">
        <f t="shared" si="0"/>
        <v>9</v>
      </c>
      <c r="B10" s="18" t="s">
        <v>6</v>
      </c>
      <c r="C10" s="18" t="s">
        <v>6</v>
      </c>
      <c r="D10" s="18" t="s">
        <v>6</v>
      </c>
      <c r="E10" s="18" t="s">
        <v>19</v>
      </c>
      <c r="F10" s="18" t="s">
        <v>53</v>
      </c>
      <c r="G10" s="18" t="s">
        <v>6</v>
      </c>
      <c r="H10" s="18" t="s">
        <v>43</v>
      </c>
      <c r="I10" s="18" t="s">
        <v>284</v>
      </c>
      <c r="J10" s="18" t="s">
        <v>17</v>
      </c>
      <c r="K10" s="18" t="s">
        <v>6</v>
      </c>
      <c r="L10" s="18" t="s">
        <v>6</v>
      </c>
      <c r="M10" s="19" t="s">
        <v>53</v>
      </c>
    </row>
    <row r="11" spans="1:13" x14ac:dyDescent="0.2">
      <c r="A11" s="20">
        <f t="shared" si="0"/>
        <v>10</v>
      </c>
      <c r="B11" s="21" t="s">
        <v>19</v>
      </c>
      <c r="C11" s="21" t="s">
        <v>19</v>
      </c>
      <c r="D11" s="21" t="s">
        <v>17</v>
      </c>
      <c r="E11" s="21" t="s">
        <v>17</v>
      </c>
      <c r="F11" s="21" t="s">
        <v>17</v>
      </c>
      <c r="G11" s="21" t="s">
        <v>53</v>
      </c>
      <c r="H11" s="21" t="s">
        <v>284</v>
      </c>
      <c r="I11" s="21" t="s">
        <v>19</v>
      </c>
      <c r="J11" s="21" t="s">
        <v>43</v>
      </c>
      <c r="K11" s="21" t="s">
        <v>19</v>
      </c>
      <c r="L11" s="21" t="s">
        <v>19</v>
      </c>
      <c r="M11" s="22" t="s">
        <v>19</v>
      </c>
    </row>
    <row r="12" spans="1:13" x14ac:dyDescent="0.2">
      <c r="A12" s="17">
        <f t="shared" si="0"/>
        <v>11</v>
      </c>
      <c r="B12" s="18" t="s">
        <v>17</v>
      </c>
      <c r="C12" s="18" t="s">
        <v>17</v>
      </c>
      <c r="D12" s="18" t="s">
        <v>19</v>
      </c>
      <c r="E12" s="18" t="s">
        <v>19</v>
      </c>
      <c r="F12" s="18" t="s">
        <v>53</v>
      </c>
      <c r="G12" s="18" t="s">
        <v>284</v>
      </c>
      <c r="H12" s="18" t="s">
        <v>43</v>
      </c>
      <c r="I12" s="18" t="s">
        <v>53</v>
      </c>
      <c r="J12" s="18" t="s">
        <v>19</v>
      </c>
      <c r="K12" s="18" t="s">
        <v>17</v>
      </c>
      <c r="L12" s="18" t="s">
        <v>43</v>
      </c>
      <c r="M12" s="19" t="s">
        <v>17</v>
      </c>
    </row>
    <row r="13" spans="1:13" x14ac:dyDescent="0.2">
      <c r="A13" s="20">
        <f t="shared" si="0"/>
        <v>12</v>
      </c>
      <c r="B13" s="21" t="s">
        <v>53</v>
      </c>
      <c r="C13" s="21" t="s">
        <v>53</v>
      </c>
      <c r="D13" s="21" t="s">
        <v>53</v>
      </c>
      <c r="E13" s="21" t="s">
        <v>43</v>
      </c>
      <c r="F13" s="21" t="s">
        <v>19</v>
      </c>
      <c r="G13" s="21" t="s">
        <v>43</v>
      </c>
      <c r="H13" s="21" t="s">
        <v>19</v>
      </c>
      <c r="I13" s="21" t="s">
        <v>17</v>
      </c>
      <c r="J13" s="21" t="s">
        <v>19</v>
      </c>
      <c r="K13" s="21" t="s">
        <v>53</v>
      </c>
      <c r="L13" s="21" t="s">
        <v>53</v>
      </c>
      <c r="M13" s="22" t="s">
        <v>19</v>
      </c>
    </row>
    <row r="14" spans="1:13" x14ac:dyDescent="0.2">
      <c r="A14" s="17">
        <f t="shared" si="0"/>
        <v>13</v>
      </c>
      <c r="B14" s="18" t="s">
        <v>43</v>
      </c>
      <c r="C14" s="18" t="s">
        <v>284</v>
      </c>
      <c r="D14" s="18" t="s">
        <v>43</v>
      </c>
      <c r="E14" s="18" t="s">
        <v>53</v>
      </c>
      <c r="F14" s="18" t="s">
        <v>17</v>
      </c>
      <c r="G14" s="18" t="s">
        <v>19</v>
      </c>
      <c r="H14" s="18" t="s">
        <v>17</v>
      </c>
      <c r="I14" s="18" t="s">
        <v>17</v>
      </c>
      <c r="J14" s="18" t="s">
        <v>53</v>
      </c>
      <c r="K14" s="18" t="s">
        <v>43</v>
      </c>
      <c r="L14" s="18" t="s">
        <v>17</v>
      </c>
      <c r="M14" s="19" t="s">
        <v>19</v>
      </c>
    </row>
    <row r="15" spans="1:13" x14ac:dyDescent="0.2">
      <c r="A15" s="4">
        <f t="shared" si="0"/>
        <v>14</v>
      </c>
      <c r="B15" s="5" t="s">
        <v>19</v>
      </c>
      <c r="C15" s="5" t="s">
        <v>17</v>
      </c>
      <c r="D15" s="5" t="s">
        <v>19</v>
      </c>
      <c r="E15" s="5" t="s">
        <v>6</v>
      </c>
      <c r="F15" s="5" t="s">
        <v>19</v>
      </c>
      <c r="G15" s="5" t="s">
        <v>53</v>
      </c>
      <c r="H15" s="5" t="s">
        <v>19</v>
      </c>
      <c r="I15" s="5" t="s">
        <v>43</v>
      </c>
      <c r="J15" s="5" t="s">
        <v>43</v>
      </c>
      <c r="K15" s="5" t="s">
        <v>19</v>
      </c>
      <c r="L15" s="5" t="s">
        <v>284</v>
      </c>
      <c r="M15" s="6" t="s">
        <v>17</v>
      </c>
    </row>
  </sheetData>
  <dataValidations count="1">
    <dataValidation type="list" allowBlank="1" showInputMessage="1" showErrorMessage="1" sqref="B2:M15" xr:uid="{0724AAB1-D552-A348-A10F-A5977A46C93E}">
      <formula1>"QB, WR, RB, TE, K, DEF"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4B1581-BA5C-8844-AA02-6334258BE0D6}">
          <x14:formula1>
            <xm:f>Overview!$B$2:$B$13</xm:f>
          </x14:formula1>
          <xm:sqref>B1:M1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12689-287F-4C41-9A66-CAF136ACB452}">
  <dimension ref="B2:AJ74"/>
  <sheetViews>
    <sheetView workbookViewId="0">
      <selection activeCell="AK1" sqref="AK1:AL1048576"/>
    </sheetView>
  </sheetViews>
  <sheetFormatPr baseColWidth="10" defaultColWidth="8.83203125" defaultRowHeight="15" x14ac:dyDescent="0.2"/>
  <sheetData>
    <row r="2" spans="2:36" x14ac:dyDescent="0.2">
      <c r="B2" t="s">
        <v>81</v>
      </c>
    </row>
    <row r="3" spans="2:36" x14ac:dyDescent="0.2">
      <c r="F3">
        <v>12</v>
      </c>
      <c r="G3" t="s">
        <v>82</v>
      </c>
      <c r="I3" t="s">
        <v>83</v>
      </c>
      <c r="J3">
        <v>1</v>
      </c>
      <c r="K3" t="s">
        <v>84</v>
      </c>
      <c r="L3" t="s">
        <v>83</v>
      </c>
      <c r="S3" t="s">
        <v>83</v>
      </c>
      <c r="T3" t="s">
        <v>85</v>
      </c>
      <c r="Z3" t="s">
        <v>83</v>
      </c>
      <c r="AA3" t="s">
        <v>86</v>
      </c>
    </row>
    <row r="5" spans="2:36" x14ac:dyDescent="0.2">
      <c r="B5" t="s">
        <v>53</v>
      </c>
      <c r="N5" t="s">
        <v>19</v>
      </c>
      <c r="Z5" t="s">
        <v>17</v>
      </c>
    </row>
    <row r="6" spans="2:36" x14ac:dyDescent="0.2">
      <c r="B6" t="s">
        <v>87</v>
      </c>
      <c r="C6" t="s">
        <v>88</v>
      </c>
      <c r="D6" t="s">
        <v>89</v>
      </c>
      <c r="E6" t="s">
        <v>90</v>
      </c>
      <c r="F6" t="s">
        <v>91</v>
      </c>
      <c r="G6" t="s">
        <v>92</v>
      </c>
      <c r="H6" t="s">
        <v>93</v>
      </c>
      <c r="I6" t="s">
        <v>94</v>
      </c>
      <c r="J6" t="s">
        <v>95</v>
      </c>
      <c r="K6" t="s">
        <v>96</v>
      </c>
      <c r="L6" t="s">
        <v>97</v>
      </c>
      <c r="N6" t="s">
        <v>87</v>
      </c>
      <c r="O6" t="s">
        <v>88</v>
      </c>
      <c r="P6" t="s">
        <v>89</v>
      </c>
      <c r="Q6" t="s">
        <v>90</v>
      </c>
      <c r="R6" t="s">
        <v>91</v>
      </c>
      <c r="S6" t="s">
        <v>92</v>
      </c>
      <c r="T6" t="s">
        <v>98</v>
      </c>
      <c r="U6" t="s">
        <v>94</v>
      </c>
      <c r="V6" t="s">
        <v>95</v>
      </c>
      <c r="W6" t="s">
        <v>96</v>
      </c>
      <c r="X6" t="s">
        <v>97</v>
      </c>
      <c r="Z6" t="s">
        <v>87</v>
      </c>
      <c r="AA6" t="s">
        <v>88</v>
      </c>
      <c r="AB6" t="s">
        <v>89</v>
      </c>
      <c r="AC6" t="s">
        <v>90</v>
      </c>
      <c r="AD6" t="s">
        <v>91</v>
      </c>
      <c r="AE6" t="s">
        <v>92</v>
      </c>
      <c r="AF6" t="s">
        <v>98</v>
      </c>
      <c r="AG6" t="s">
        <v>94</v>
      </c>
      <c r="AH6" t="s">
        <v>95</v>
      </c>
      <c r="AI6" t="s">
        <v>96</v>
      </c>
      <c r="AJ6" t="s">
        <v>97</v>
      </c>
    </row>
    <row r="7" spans="2:36" x14ac:dyDescent="0.2">
      <c r="B7">
        <v>1</v>
      </c>
      <c r="C7" t="s">
        <v>52</v>
      </c>
      <c r="D7" t="s">
        <v>99</v>
      </c>
      <c r="E7">
        <v>7</v>
      </c>
      <c r="F7">
        <v>22.6</v>
      </c>
      <c r="G7" s="1">
        <v>0.96</v>
      </c>
      <c r="H7" s="2">
        <v>4.1000000000000002E-2</v>
      </c>
      <c r="I7">
        <v>5.5</v>
      </c>
      <c r="J7">
        <v>1</v>
      </c>
      <c r="K7">
        <v>2.09</v>
      </c>
      <c r="L7">
        <v>3.02</v>
      </c>
      <c r="N7">
        <v>1</v>
      </c>
      <c r="O7" t="s">
        <v>18</v>
      </c>
      <c r="P7" t="s">
        <v>100</v>
      </c>
      <c r="Q7">
        <v>5</v>
      </c>
      <c r="R7">
        <v>19.3</v>
      </c>
      <c r="S7" s="1">
        <v>0.97</v>
      </c>
      <c r="T7" s="2">
        <v>3.1E-2</v>
      </c>
      <c r="U7">
        <v>8.8000000000000007</v>
      </c>
      <c r="V7">
        <v>1</v>
      </c>
      <c r="W7">
        <v>1.02</v>
      </c>
      <c r="X7">
        <v>1.03</v>
      </c>
      <c r="Z7">
        <v>1</v>
      </c>
      <c r="AA7" t="s">
        <v>16</v>
      </c>
      <c r="AB7" t="s">
        <v>101</v>
      </c>
      <c r="AC7">
        <v>10</v>
      </c>
      <c r="AD7">
        <v>20.8</v>
      </c>
      <c r="AE7" s="1">
        <v>0.97</v>
      </c>
      <c r="AF7" s="2">
        <v>2.8000000000000001E-2</v>
      </c>
      <c r="AG7">
        <v>8.1</v>
      </c>
      <c r="AH7">
        <v>1</v>
      </c>
      <c r="AI7">
        <v>1.01</v>
      </c>
      <c r="AJ7">
        <v>1.01</v>
      </c>
    </row>
    <row r="8" spans="2:36" x14ac:dyDescent="0.2">
      <c r="B8">
        <v>2</v>
      </c>
      <c r="C8" t="s">
        <v>54</v>
      </c>
      <c r="D8" t="s">
        <v>102</v>
      </c>
      <c r="E8">
        <v>7</v>
      </c>
      <c r="F8">
        <v>22.5</v>
      </c>
      <c r="G8" s="1">
        <v>0.92</v>
      </c>
      <c r="H8" s="2">
        <v>4.1000000000000002E-2</v>
      </c>
      <c r="I8">
        <v>5.4</v>
      </c>
      <c r="J8">
        <v>1</v>
      </c>
      <c r="K8">
        <v>2.1</v>
      </c>
      <c r="L8">
        <v>3.03</v>
      </c>
      <c r="N8">
        <v>2</v>
      </c>
      <c r="O8" t="s">
        <v>21</v>
      </c>
      <c r="P8" t="s">
        <v>103</v>
      </c>
      <c r="Q8">
        <v>9</v>
      </c>
      <c r="R8">
        <v>19.100000000000001</v>
      </c>
      <c r="S8" s="1">
        <v>0.94</v>
      </c>
      <c r="T8" s="2">
        <v>3.1E-2</v>
      </c>
      <c r="U8">
        <v>8.5</v>
      </c>
      <c r="V8">
        <v>1</v>
      </c>
      <c r="W8">
        <v>1.04</v>
      </c>
      <c r="X8">
        <v>1.08</v>
      </c>
      <c r="Z8">
        <v>2</v>
      </c>
      <c r="AA8" t="s">
        <v>25</v>
      </c>
      <c r="AB8" t="s">
        <v>104</v>
      </c>
      <c r="AC8">
        <v>10</v>
      </c>
      <c r="AD8">
        <v>18.2</v>
      </c>
      <c r="AE8" s="1">
        <v>0.95</v>
      </c>
      <c r="AF8" s="2">
        <v>2.4E-2</v>
      </c>
      <c r="AG8">
        <v>5.4</v>
      </c>
      <c r="AH8">
        <v>2</v>
      </c>
      <c r="AI8">
        <v>1.05</v>
      </c>
      <c r="AJ8">
        <v>1.04</v>
      </c>
    </row>
    <row r="9" spans="2:36" x14ac:dyDescent="0.2">
      <c r="B9">
        <v>3</v>
      </c>
      <c r="C9" t="s">
        <v>56</v>
      </c>
      <c r="D9" t="s">
        <v>103</v>
      </c>
      <c r="E9">
        <v>9</v>
      </c>
      <c r="F9">
        <v>21.6</v>
      </c>
      <c r="G9" s="1">
        <v>0.88</v>
      </c>
      <c r="H9" s="2">
        <v>3.9E-2</v>
      </c>
      <c r="I9">
        <v>4.5</v>
      </c>
      <c r="J9">
        <v>2</v>
      </c>
      <c r="K9">
        <v>3.11</v>
      </c>
      <c r="L9">
        <v>4.0199999999999996</v>
      </c>
      <c r="N9">
        <v>3</v>
      </c>
      <c r="O9" t="s">
        <v>22</v>
      </c>
      <c r="P9" t="s">
        <v>105</v>
      </c>
      <c r="Q9">
        <v>8</v>
      </c>
      <c r="R9">
        <v>18.899999999999999</v>
      </c>
      <c r="S9" s="1">
        <v>0.91</v>
      </c>
      <c r="T9" s="2">
        <v>0.03</v>
      </c>
      <c r="U9">
        <v>8.3000000000000007</v>
      </c>
      <c r="V9">
        <v>2</v>
      </c>
      <c r="W9">
        <v>1.04</v>
      </c>
      <c r="X9">
        <v>1.06</v>
      </c>
      <c r="Z9">
        <v>3</v>
      </c>
      <c r="AA9" t="s">
        <v>20</v>
      </c>
      <c r="AB9" t="s">
        <v>106</v>
      </c>
      <c r="AC9">
        <v>6</v>
      </c>
      <c r="AD9">
        <v>18</v>
      </c>
      <c r="AE9" s="1">
        <v>0.92</v>
      </c>
      <c r="AF9" s="2">
        <v>2.4E-2</v>
      </c>
      <c r="AG9">
        <v>5.2</v>
      </c>
      <c r="AH9">
        <v>2</v>
      </c>
      <c r="AI9">
        <v>1.05</v>
      </c>
      <c r="AJ9">
        <v>1.04</v>
      </c>
    </row>
    <row r="10" spans="2:36" x14ac:dyDescent="0.2">
      <c r="B10">
        <v>4</v>
      </c>
      <c r="C10" t="s">
        <v>55</v>
      </c>
      <c r="D10" t="s">
        <v>107</v>
      </c>
      <c r="E10">
        <v>12</v>
      </c>
      <c r="F10">
        <v>21.2</v>
      </c>
      <c r="G10" s="1">
        <v>0.84</v>
      </c>
      <c r="H10" s="2">
        <v>3.9E-2</v>
      </c>
      <c r="I10">
        <v>4.0999999999999996</v>
      </c>
      <c r="J10">
        <v>2</v>
      </c>
      <c r="K10">
        <v>3.07</v>
      </c>
      <c r="L10">
        <v>3.1</v>
      </c>
      <c r="N10">
        <v>4</v>
      </c>
      <c r="O10" t="s">
        <v>23</v>
      </c>
      <c r="P10" t="s">
        <v>24</v>
      </c>
      <c r="Q10">
        <v>14</v>
      </c>
      <c r="R10">
        <v>17.7</v>
      </c>
      <c r="S10" s="1">
        <v>0.88</v>
      </c>
      <c r="T10" s="2">
        <v>2.8000000000000001E-2</v>
      </c>
      <c r="U10">
        <v>7.2</v>
      </c>
      <c r="V10">
        <v>3</v>
      </c>
      <c r="W10">
        <v>1.08</v>
      </c>
      <c r="X10">
        <v>2.0099999999999998</v>
      </c>
      <c r="Z10">
        <v>4</v>
      </c>
      <c r="AA10" t="s">
        <v>26</v>
      </c>
      <c r="AB10" t="s">
        <v>27</v>
      </c>
      <c r="AC10">
        <v>14</v>
      </c>
      <c r="AD10">
        <v>17.2</v>
      </c>
      <c r="AE10" s="1">
        <v>0.9</v>
      </c>
      <c r="AF10" s="2">
        <v>2.3E-2</v>
      </c>
      <c r="AG10">
        <v>4.5</v>
      </c>
      <c r="AH10">
        <v>2</v>
      </c>
      <c r="AI10">
        <v>1.1000000000000001</v>
      </c>
      <c r="AJ10">
        <v>1.08</v>
      </c>
    </row>
    <row r="11" spans="2:36" x14ac:dyDescent="0.2">
      <c r="B11">
        <v>5</v>
      </c>
      <c r="C11" t="s">
        <v>64</v>
      </c>
      <c r="D11" t="s">
        <v>101</v>
      </c>
      <c r="E11">
        <v>10</v>
      </c>
      <c r="F11">
        <v>20.5</v>
      </c>
      <c r="G11" s="1">
        <v>0.8</v>
      </c>
      <c r="H11" s="2">
        <v>3.7999999999999999E-2</v>
      </c>
      <c r="I11">
        <v>3.4</v>
      </c>
      <c r="J11">
        <v>3</v>
      </c>
      <c r="K11">
        <v>3.1</v>
      </c>
      <c r="L11">
        <v>5.01</v>
      </c>
      <c r="N11">
        <v>5</v>
      </c>
      <c r="O11" t="s">
        <v>41</v>
      </c>
      <c r="P11" t="s">
        <v>108</v>
      </c>
      <c r="Q11">
        <v>12</v>
      </c>
      <c r="R11">
        <v>17</v>
      </c>
      <c r="S11" s="1">
        <v>0.85</v>
      </c>
      <c r="T11" s="2">
        <v>2.7E-2</v>
      </c>
      <c r="U11">
        <v>6.5</v>
      </c>
      <c r="V11">
        <v>4</v>
      </c>
      <c r="W11">
        <v>2.0299999999999998</v>
      </c>
      <c r="X11">
        <v>2.06</v>
      </c>
      <c r="Z11">
        <v>5</v>
      </c>
      <c r="AA11" t="s">
        <v>31</v>
      </c>
      <c r="AB11" t="s">
        <v>105</v>
      </c>
      <c r="AC11">
        <v>8</v>
      </c>
      <c r="AD11">
        <v>17.100000000000001</v>
      </c>
      <c r="AE11" s="1">
        <v>0.88</v>
      </c>
      <c r="AF11" s="2">
        <v>2.3E-2</v>
      </c>
      <c r="AG11">
        <v>4.4000000000000004</v>
      </c>
      <c r="AH11">
        <v>3</v>
      </c>
      <c r="AI11">
        <v>1.0900000000000001</v>
      </c>
      <c r="AJ11">
        <v>1.0900000000000001</v>
      </c>
    </row>
    <row r="12" spans="2:36" x14ac:dyDescent="0.2">
      <c r="B12">
        <v>6</v>
      </c>
      <c r="C12" t="s">
        <v>109</v>
      </c>
      <c r="D12" t="s">
        <v>76</v>
      </c>
      <c r="E12">
        <v>10</v>
      </c>
      <c r="F12">
        <v>19.600000000000001</v>
      </c>
      <c r="G12" s="1">
        <v>0.77</v>
      </c>
      <c r="H12" s="2">
        <v>3.5999999999999997E-2</v>
      </c>
      <c r="I12">
        <v>2.5</v>
      </c>
      <c r="J12">
        <v>4</v>
      </c>
      <c r="K12">
        <v>5.0199999999999996</v>
      </c>
      <c r="L12">
        <v>6.05</v>
      </c>
      <c r="N12">
        <v>6</v>
      </c>
      <c r="O12" t="s">
        <v>30</v>
      </c>
      <c r="P12" t="s">
        <v>102</v>
      </c>
      <c r="Q12">
        <v>7</v>
      </c>
      <c r="R12">
        <v>16.2</v>
      </c>
      <c r="S12" s="1">
        <v>0.83</v>
      </c>
      <c r="T12" s="2">
        <v>2.5999999999999999E-2</v>
      </c>
      <c r="U12">
        <v>5.6</v>
      </c>
      <c r="V12">
        <v>5</v>
      </c>
      <c r="W12">
        <v>1.1000000000000001</v>
      </c>
      <c r="X12">
        <v>2.1</v>
      </c>
      <c r="Z12">
        <v>6</v>
      </c>
      <c r="AA12" t="s">
        <v>28</v>
      </c>
      <c r="AB12" t="s">
        <v>29</v>
      </c>
      <c r="AC12">
        <v>8</v>
      </c>
      <c r="AD12">
        <v>17</v>
      </c>
      <c r="AE12" s="1">
        <v>0.86</v>
      </c>
      <c r="AF12" s="2">
        <v>2.3E-2</v>
      </c>
      <c r="AG12">
        <v>4.3</v>
      </c>
      <c r="AH12">
        <v>3</v>
      </c>
      <c r="AI12">
        <v>1.1100000000000001</v>
      </c>
      <c r="AJ12">
        <v>1.1100000000000001</v>
      </c>
    </row>
    <row r="13" spans="2:36" x14ac:dyDescent="0.2">
      <c r="B13">
        <v>7</v>
      </c>
      <c r="C13" t="s">
        <v>110</v>
      </c>
      <c r="D13" t="s">
        <v>47</v>
      </c>
      <c r="E13">
        <v>9</v>
      </c>
      <c r="F13">
        <v>19.2</v>
      </c>
      <c r="G13" s="1">
        <v>0.73</v>
      </c>
      <c r="H13" s="2">
        <v>3.5000000000000003E-2</v>
      </c>
      <c r="I13">
        <v>2.2000000000000002</v>
      </c>
      <c r="J13">
        <v>4</v>
      </c>
      <c r="K13">
        <v>6.03</v>
      </c>
      <c r="L13">
        <v>7.02</v>
      </c>
      <c r="N13">
        <v>7</v>
      </c>
      <c r="O13" t="s">
        <v>32</v>
      </c>
      <c r="P13" t="s">
        <v>33</v>
      </c>
      <c r="Q13">
        <v>8</v>
      </c>
      <c r="R13">
        <v>16</v>
      </c>
      <c r="S13" s="1">
        <v>0.8</v>
      </c>
      <c r="T13" s="2">
        <v>2.5999999999999999E-2</v>
      </c>
      <c r="U13">
        <v>5.4</v>
      </c>
      <c r="V13">
        <v>5</v>
      </c>
      <c r="W13">
        <v>1.1000000000000001</v>
      </c>
      <c r="X13">
        <v>2.0299999999999998</v>
      </c>
      <c r="Z13">
        <v>7</v>
      </c>
      <c r="AA13" t="s">
        <v>34</v>
      </c>
      <c r="AB13" t="s">
        <v>111</v>
      </c>
      <c r="AC13">
        <v>6</v>
      </c>
      <c r="AD13">
        <v>16.399999999999999</v>
      </c>
      <c r="AE13" s="1">
        <v>0.83</v>
      </c>
      <c r="AF13" s="2">
        <v>2.1999999999999999E-2</v>
      </c>
      <c r="AG13">
        <v>3.6</v>
      </c>
      <c r="AH13">
        <v>4</v>
      </c>
      <c r="AI13">
        <v>2.0099999999999998</v>
      </c>
      <c r="AJ13">
        <v>1.1000000000000001</v>
      </c>
    </row>
    <row r="14" spans="2:36" x14ac:dyDescent="0.2">
      <c r="B14">
        <v>8</v>
      </c>
      <c r="C14" t="s">
        <v>112</v>
      </c>
      <c r="D14" t="s">
        <v>113</v>
      </c>
      <c r="E14">
        <v>8</v>
      </c>
      <c r="F14">
        <v>19.100000000000001</v>
      </c>
      <c r="G14" s="1">
        <v>0.7</v>
      </c>
      <c r="H14" s="2">
        <v>3.5000000000000003E-2</v>
      </c>
      <c r="I14">
        <v>2</v>
      </c>
      <c r="J14">
        <v>4</v>
      </c>
      <c r="K14">
        <v>8.0299999999999994</v>
      </c>
      <c r="L14">
        <v>8</v>
      </c>
      <c r="N14">
        <v>8</v>
      </c>
      <c r="O14" t="s">
        <v>39</v>
      </c>
      <c r="P14" t="s">
        <v>40</v>
      </c>
      <c r="Q14">
        <v>5</v>
      </c>
      <c r="R14">
        <v>15.9</v>
      </c>
      <c r="S14" s="1">
        <v>0.78</v>
      </c>
      <c r="T14" s="2">
        <v>2.5999999999999999E-2</v>
      </c>
      <c r="U14">
        <v>5.4</v>
      </c>
      <c r="V14">
        <v>5</v>
      </c>
      <c r="W14">
        <v>2.04</v>
      </c>
      <c r="X14">
        <v>3.04</v>
      </c>
      <c r="Z14">
        <v>8</v>
      </c>
      <c r="AA14" t="s">
        <v>35</v>
      </c>
      <c r="AB14" t="s">
        <v>114</v>
      </c>
      <c r="AC14">
        <v>8</v>
      </c>
      <c r="AD14">
        <v>16.2</v>
      </c>
      <c r="AE14" s="1">
        <v>0.81</v>
      </c>
      <c r="AF14" s="2">
        <v>2.1999999999999999E-2</v>
      </c>
      <c r="AG14">
        <v>3.5</v>
      </c>
      <c r="AH14">
        <v>4</v>
      </c>
      <c r="AI14">
        <v>2.04</v>
      </c>
      <c r="AJ14">
        <v>1.1200000000000001</v>
      </c>
    </row>
    <row r="15" spans="2:36" x14ac:dyDescent="0.2">
      <c r="B15">
        <v>9</v>
      </c>
      <c r="C15" t="s">
        <v>115</v>
      </c>
      <c r="D15" t="s">
        <v>24</v>
      </c>
      <c r="E15">
        <v>14</v>
      </c>
      <c r="F15">
        <v>18.7</v>
      </c>
      <c r="G15" s="1">
        <v>0.66</v>
      </c>
      <c r="H15" s="2">
        <v>3.4000000000000002E-2</v>
      </c>
      <c r="I15">
        <v>1.6</v>
      </c>
      <c r="J15">
        <v>4</v>
      </c>
      <c r="K15">
        <v>9.0399999999999991</v>
      </c>
      <c r="L15">
        <v>8.11</v>
      </c>
      <c r="N15">
        <v>9</v>
      </c>
      <c r="O15" t="s">
        <v>57</v>
      </c>
      <c r="P15" t="s">
        <v>101</v>
      </c>
      <c r="Q15">
        <v>10</v>
      </c>
      <c r="R15">
        <v>15.8</v>
      </c>
      <c r="S15" s="1">
        <v>0.75</v>
      </c>
      <c r="T15" s="2">
        <v>2.5000000000000001E-2</v>
      </c>
      <c r="U15">
        <v>5.3</v>
      </c>
      <c r="V15">
        <v>5</v>
      </c>
      <c r="W15">
        <v>2.09</v>
      </c>
      <c r="X15">
        <v>2.11</v>
      </c>
      <c r="Z15">
        <v>9</v>
      </c>
      <c r="AA15" t="s">
        <v>48</v>
      </c>
      <c r="AB15" t="s">
        <v>100</v>
      </c>
      <c r="AC15">
        <v>5</v>
      </c>
      <c r="AD15">
        <v>15.8</v>
      </c>
      <c r="AE15" s="1">
        <v>0.79</v>
      </c>
      <c r="AF15" s="2">
        <v>2.1000000000000001E-2</v>
      </c>
      <c r="AG15">
        <v>3.1</v>
      </c>
      <c r="AH15">
        <v>4</v>
      </c>
      <c r="AI15">
        <v>2.0699999999999998</v>
      </c>
      <c r="AJ15">
        <v>2</v>
      </c>
    </row>
    <row r="16" spans="2:36" x14ac:dyDescent="0.2">
      <c r="B16">
        <v>10</v>
      </c>
      <c r="C16" t="s">
        <v>116</v>
      </c>
      <c r="D16" t="s">
        <v>117</v>
      </c>
      <c r="E16">
        <v>12</v>
      </c>
      <c r="F16">
        <v>18.399999999999999</v>
      </c>
      <c r="G16" s="1">
        <v>0.63</v>
      </c>
      <c r="H16" s="2">
        <v>3.4000000000000002E-2</v>
      </c>
      <c r="I16">
        <v>1.3</v>
      </c>
      <c r="J16">
        <v>5</v>
      </c>
      <c r="K16">
        <v>6.11</v>
      </c>
      <c r="L16">
        <v>7.03</v>
      </c>
      <c r="N16">
        <v>10</v>
      </c>
      <c r="O16" t="s">
        <v>38</v>
      </c>
      <c r="P16" t="s">
        <v>118</v>
      </c>
      <c r="Q16">
        <v>11</v>
      </c>
      <c r="R16">
        <v>15.4</v>
      </c>
      <c r="S16" s="1">
        <v>0.72</v>
      </c>
      <c r="T16" s="2">
        <v>2.5000000000000001E-2</v>
      </c>
      <c r="U16">
        <v>4.9000000000000004</v>
      </c>
      <c r="V16">
        <v>5</v>
      </c>
      <c r="W16">
        <v>2.08</v>
      </c>
      <c r="X16">
        <v>3.06</v>
      </c>
      <c r="Z16">
        <v>10</v>
      </c>
      <c r="AA16" t="s">
        <v>50</v>
      </c>
      <c r="AB16" t="s">
        <v>108</v>
      </c>
      <c r="AC16">
        <v>12</v>
      </c>
      <c r="AD16">
        <v>15.4</v>
      </c>
      <c r="AE16" s="1">
        <v>0.77</v>
      </c>
      <c r="AF16" s="2">
        <v>0.02</v>
      </c>
      <c r="AG16">
        <v>2.6</v>
      </c>
      <c r="AH16">
        <v>4</v>
      </c>
      <c r="AI16">
        <v>3.08</v>
      </c>
      <c r="AJ16">
        <v>3.07</v>
      </c>
    </row>
    <row r="17" spans="2:36" x14ac:dyDescent="0.2">
      <c r="B17">
        <v>11</v>
      </c>
      <c r="C17" t="s">
        <v>119</v>
      </c>
      <c r="D17" t="s">
        <v>73</v>
      </c>
      <c r="E17">
        <v>9</v>
      </c>
      <c r="F17">
        <v>18</v>
      </c>
      <c r="G17" s="1">
        <v>0.6</v>
      </c>
      <c r="H17" s="2">
        <v>3.3000000000000002E-2</v>
      </c>
      <c r="I17">
        <v>0.9</v>
      </c>
      <c r="J17">
        <v>5</v>
      </c>
      <c r="K17">
        <v>10.08</v>
      </c>
      <c r="L17">
        <v>9.02</v>
      </c>
      <c r="N17">
        <v>11</v>
      </c>
      <c r="O17" t="s">
        <v>45</v>
      </c>
      <c r="P17" t="s">
        <v>29</v>
      </c>
      <c r="Q17">
        <v>8</v>
      </c>
      <c r="R17">
        <v>15.3</v>
      </c>
      <c r="S17" s="1">
        <v>0.7</v>
      </c>
      <c r="T17" s="2">
        <v>2.5000000000000001E-2</v>
      </c>
      <c r="U17">
        <v>4.7</v>
      </c>
      <c r="V17">
        <v>5</v>
      </c>
      <c r="W17">
        <v>2.12</v>
      </c>
      <c r="X17">
        <v>4</v>
      </c>
      <c r="Z17">
        <v>11</v>
      </c>
      <c r="AA17" t="s">
        <v>36</v>
      </c>
      <c r="AB17" t="s">
        <v>103</v>
      </c>
      <c r="AC17">
        <v>9</v>
      </c>
      <c r="AD17">
        <v>15.3</v>
      </c>
      <c r="AE17" s="1">
        <v>0.75</v>
      </c>
      <c r="AF17" s="2">
        <v>0.02</v>
      </c>
      <c r="AG17">
        <v>2.6</v>
      </c>
      <c r="AH17">
        <v>4</v>
      </c>
      <c r="AI17">
        <v>2.08</v>
      </c>
      <c r="AJ17">
        <v>2.0499999999999998</v>
      </c>
    </row>
    <row r="18" spans="2:36" x14ac:dyDescent="0.2">
      <c r="B18">
        <v>12</v>
      </c>
      <c r="C18" t="s">
        <v>120</v>
      </c>
      <c r="D18" t="s">
        <v>106</v>
      </c>
      <c r="E18">
        <v>6</v>
      </c>
      <c r="F18">
        <v>17.7</v>
      </c>
      <c r="G18" s="1">
        <v>0.56000000000000005</v>
      </c>
      <c r="H18" s="2">
        <v>3.2000000000000001E-2</v>
      </c>
      <c r="I18">
        <v>0.6</v>
      </c>
      <c r="J18">
        <v>5</v>
      </c>
      <c r="K18">
        <v>13.02</v>
      </c>
      <c r="L18">
        <v>11.01</v>
      </c>
      <c r="N18">
        <v>12</v>
      </c>
      <c r="O18" t="s">
        <v>46</v>
      </c>
      <c r="P18" t="s">
        <v>47</v>
      </c>
      <c r="Q18">
        <v>9</v>
      </c>
      <c r="R18">
        <v>15.1</v>
      </c>
      <c r="S18" s="1">
        <v>0.68</v>
      </c>
      <c r="T18" s="2">
        <v>2.4E-2</v>
      </c>
      <c r="U18">
        <v>4.5999999999999996</v>
      </c>
      <c r="V18">
        <v>6</v>
      </c>
      <c r="W18">
        <v>2.1</v>
      </c>
      <c r="X18">
        <v>3.02</v>
      </c>
      <c r="Z18">
        <v>12</v>
      </c>
      <c r="AA18" t="s">
        <v>58</v>
      </c>
      <c r="AB18" t="s">
        <v>59</v>
      </c>
      <c r="AC18">
        <v>12</v>
      </c>
      <c r="AD18">
        <v>15.1</v>
      </c>
      <c r="AE18" s="1">
        <v>0.73</v>
      </c>
      <c r="AF18" s="2">
        <v>0.02</v>
      </c>
      <c r="AG18">
        <v>2.2999999999999998</v>
      </c>
      <c r="AH18">
        <v>5</v>
      </c>
      <c r="AI18">
        <v>3.02</v>
      </c>
      <c r="AJ18">
        <v>2.06</v>
      </c>
    </row>
    <row r="19" spans="2:36" x14ac:dyDescent="0.2">
      <c r="B19">
        <v>13</v>
      </c>
      <c r="C19" t="s">
        <v>121</v>
      </c>
      <c r="D19" t="s">
        <v>122</v>
      </c>
      <c r="E19">
        <v>5</v>
      </c>
      <c r="F19">
        <v>17.5</v>
      </c>
      <c r="G19" s="1">
        <v>0.53</v>
      </c>
      <c r="H19" s="2">
        <v>3.2000000000000001E-2</v>
      </c>
      <c r="I19">
        <v>0.5</v>
      </c>
      <c r="J19">
        <v>5</v>
      </c>
      <c r="K19">
        <v>11.02</v>
      </c>
      <c r="L19">
        <v>9.06</v>
      </c>
      <c r="N19">
        <v>13</v>
      </c>
      <c r="O19" t="s">
        <v>67</v>
      </c>
      <c r="P19" t="s">
        <v>68</v>
      </c>
      <c r="Q19">
        <v>11</v>
      </c>
      <c r="R19">
        <v>14.4</v>
      </c>
      <c r="S19" s="1">
        <v>0.65</v>
      </c>
      <c r="T19" s="2">
        <v>2.3E-2</v>
      </c>
      <c r="U19">
        <v>3.8</v>
      </c>
      <c r="V19">
        <v>7</v>
      </c>
      <c r="W19">
        <v>4.01</v>
      </c>
      <c r="X19">
        <v>4.0599999999999996</v>
      </c>
      <c r="Z19">
        <v>13</v>
      </c>
      <c r="AA19" t="s">
        <v>37</v>
      </c>
      <c r="AB19" t="s">
        <v>101</v>
      </c>
      <c r="AC19">
        <v>10</v>
      </c>
      <c r="AD19">
        <v>14.7</v>
      </c>
      <c r="AE19" s="1">
        <v>0.71</v>
      </c>
      <c r="AF19" s="2">
        <v>0.02</v>
      </c>
      <c r="AG19">
        <v>1.9</v>
      </c>
      <c r="AH19">
        <v>5</v>
      </c>
      <c r="AI19">
        <v>3.07</v>
      </c>
      <c r="AJ19">
        <v>3.01</v>
      </c>
    </row>
    <row r="20" spans="2:36" x14ac:dyDescent="0.2">
      <c r="B20">
        <v>14</v>
      </c>
      <c r="C20" t="s">
        <v>123</v>
      </c>
      <c r="D20" t="s">
        <v>104</v>
      </c>
      <c r="E20">
        <v>10</v>
      </c>
      <c r="F20">
        <v>17.5</v>
      </c>
      <c r="G20" s="1">
        <v>0.5</v>
      </c>
      <c r="H20" s="2">
        <v>3.2000000000000001E-2</v>
      </c>
      <c r="I20">
        <v>0.4</v>
      </c>
      <c r="J20">
        <v>5</v>
      </c>
      <c r="K20">
        <v>9.0500000000000007</v>
      </c>
      <c r="L20">
        <v>8.01</v>
      </c>
      <c r="N20">
        <v>14</v>
      </c>
      <c r="O20" t="s">
        <v>124</v>
      </c>
      <c r="P20" t="s">
        <v>99</v>
      </c>
      <c r="Q20">
        <v>7</v>
      </c>
      <c r="R20">
        <v>13.9</v>
      </c>
      <c r="S20" s="1">
        <v>0.63</v>
      </c>
      <c r="T20" s="2">
        <v>2.1999999999999999E-2</v>
      </c>
      <c r="U20">
        <v>3.4</v>
      </c>
      <c r="V20">
        <v>7</v>
      </c>
      <c r="W20">
        <v>3.06</v>
      </c>
      <c r="X20">
        <v>4.07</v>
      </c>
      <c r="Z20">
        <v>14</v>
      </c>
      <c r="AA20" t="s">
        <v>79</v>
      </c>
      <c r="AB20" t="s">
        <v>47</v>
      </c>
      <c r="AC20">
        <v>9</v>
      </c>
      <c r="AD20">
        <v>14.6</v>
      </c>
      <c r="AE20" s="1">
        <v>0.69</v>
      </c>
      <c r="AF20" s="2">
        <v>1.9E-2</v>
      </c>
      <c r="AG20">
        <v>1.8</v>
      </c>
      <c r="AH20">
        <v>5</v>
      </c>
      <c r="AI20">
        <v>4.03</v>
      </c>
      <c r="AJ20">
        <v>3.09</v>
      </c>
    </row>
    <row r="21" spans="2:36" x14ac:dyDescent="0.2">
      <c r="B21">
        <v>15</v>
      </c>
      <c r="C21" t="s">
        <v>125</v>
      </c>
      <c r="D21" t="s">
        <v>59</v>
      </c>
      <c r="E21">
        <v>12</v>
      </c>
      <c r="F21">
        <v>17.399999999999999</v>
      </c>
      <c r="G21" s="1">
        <v>0.47</v>
      </c>
      <c r="H21" s="2">
        <v>3.2000000000000001E-2</v>
      </c>
      <c r="I21">
        <v>0.3</v>
      </c>
      <c r="J21">
        <v>5</v>
      </c>
      <c r="K21">
        <v>10.06</v>
      </c>
      <c r="L21">
        <v>9.0500000000000007</v>
      </c>
      <c r="N21">
        <v>15</v>
      </c>
      <c r="O21" t="s">
        <v>66</v>
      </c>
      <c r="P21" t="s">
        <v>113</v>
      </c>
      <c r="Q21">
        <v>8</v>
      </c>
      <c r="R21">
        <v>13.8</v>
      </c>
      <c r="S21" s="1">
        <v>0.61</v>
      </c>
      <c r="T21" s="2">
        <v>2.1999999999999999E-2</v>
      </c>
      <c r="U21">
        <v>3.3</v>
      </c>
      <c r="V21">
        <v>7</v>
      </c>
      <c r="W21">
        <v>4.12</v>
      </c>
      <c r="X21">
        <v>5.0599999999999996</v>
      </c>
      <c r="Z21">
        <v>15</v>
      </c>
      <c r="AA21" t="s">
        <v>51</v>
      </c>
      <c r="AB21" t="s">
        <v>107</v>
      </c>
      <c r="AC21">
        <v>12</v>
      </c>
      <c r="AD21">
        <v>14.5</v>
      </c>
      <c r="AE21" s="1">
        <v>0.67</v>
      </c>
      <c r="AF21" s="2">
        <v>1.9E-2</v>
      </c>
      <c r="AG21">
        <v>1.8</v>
      </c>
      <c r="AH21">
        <v>5</v>
      </c>
      <c r="AI21">
        <v>4.04</v>
      </c>
      <c r="AJ21">
        <v>4.0199999999999996</v>
      </c>
    </row>
    <row r="22" spans="2:36" x14ac:dyDescent="0.2">
      <c r="B22">
        <v>16</v>
      </c>
      <c r="C22" t="s">
        <v>126</v>
      </c>
      <c r="D22" t="s">
        <v>105</v>
      </c>
      <c r="E22">
        <v>8</v>
      </c>
      <c r="F22">
        <v>17.2</v>
      </c>
      <c r="G22" s="1">
        <v>0.44</v>
      </c>
      <c r="H22" s="2">
        <v>3.1E-2</v>
      </c>
      <c r="I22">
        <v>0.1</v>
      </c>
      <c r="J22">
        <v>6</v>
      </c>
      <c r="K22">
        <v>9.09</v>
      </c>
      <c r="L22">
        <v>9.1</v>
      </c>
      <c r="N22">
        <v>16</v>
      </c>
      <c r="O22" t="s">
        <v>63</v>
      </c>
      <c r="P22" t="s">
        <v>80</v>
      </c>
      <c r="Q22">
        <v>14</v>
      </c>
      <c r="R22">
        <v>13.7</v>
      </c>
      <c r="S22" s="1">
        <v>0.59</v>
      </c>
      <c r="T22" s="2">
        <v>2.1999999999999999E-2</v>
      </c>
      <c r="U22">
        <v>3.1</v>
      </c>
      <c r="V22">
        <v>7</v>
      </c>
      <c r="W22">
        <v>4.0999999999999996</v>
      </c>
      <c r="X22">
        <v>5.04</v>
      </c>
      <c r="Z22">
        <v>16</v>
      </c>
      <c r="AA22" t="s">
        <v>60</v>
      </c>
      <c r="AB22" t="s">
        <v>127</v>
      </c>
      <c r="AC22">
        <v>8</v>
      </c>
      <c r="AD22">
        <v>14.5</v>
      </c>
      <c r="AE22" s="1">
        <v>0.65</v>
      </c>
      <c r="AF22" s="2">
        <v>1.9E-2</v>
      </c>
      <c r="AG22">
        <v>1.8</v>
      </c>
      <c r="AH22">
        <v>5</v>
      </c>
      <c r="AI22">
        <v>3.1</v>
      </c>
      <c r="AJ22">
        <v>2.09</v>
      </c>
    </row>
    <row r="23" spans="2:36" x14ac:dyDescent="0.2">
      <c r="B23">
        <v>17</v>
      </c>
      <c r="C23" t="s">
        <v>128</v>
      </c>
      <c r="D23" t="s">
        <v>70</v>
      </c>
      <c r="E23">
        <v>14</v>
      </c>
      <c r="F23">
        <v>17</v>
      </c>
      <c r="G23" s="1">
        <v>0.4</v>
      </c>
      <c r="H23" s="2">
        <v>3.1E-2</v>
      </c>
      <c r="I23">
        <v>-0.1</v>
      </c>
      <c r="J23">
        <v>6</v>
      </c>
      <c r="K23">
        <v>11.1</v>
      </c>
      <c r="L23">
        <v>9.0500000000000007</v>
      </c>
      <c r="N23">
        <v>17</v>
      </c>
      <c r="O23" t="s">
        <v>72</v>
      </c>
      <c r="P23" t="s">
        <v>73</v>
      </c>
      <c r="Q23">
        <v>9</v>
      </c>
      <c r="R23">
        <v>13.4</v>
      </c>
      <c r="S23" s="1">
        <v>0.56999999999999995</v>
      </c>
      <c r="T23" s="2">
        <v>2.1000000000000001E-2</v>
      </c>
      <c r="U23">
        <v>2.8</v>
      </c>
      <c r="V23">
        <v>8</v>
      </c>
      <c r="W23">
        <v>4.0199999999999996</v>
      </c>
      <c r="X23">
        <v>4.12</v>
      </c>
      <c r="Z23">
        <v>17</v>
      </c>
      <c r="AA23" t="s">
        <v>49</v>
      </c>
      <c r="AB23" t="s">
        <v>29</v>
      </c>
      <c r="AC23">
        <v>8</v>
      </c>
      <c r="AD23">
        <v>14.4</v>
      </c>
      <c r="AE23" s="1">
        <v>0.63</v>
      </c>
      <c r="AF23" s="2">
        <v>1.9E-2</v>
      </c>
      <c r="AG23">
        <v>1.7</v>
      </c>
      <c r="AH23">
        <v>5</v>
      </c>
      <c r="AI23">
        <v>4.04</v>
      </c>
      <c r="AJ23">
        <v>3.1</v>
      </c>
    </row>
    <row r="24" spans="2:36" x14ac:dyDescent="0.2">
      <c r="B24">
        <v>18</v>
      </c>
      <c r="C24" t="s">
        <v>129</v>
      </c>
      <c r="D24" t="s">
        <v>111</v>
      </c>
      <c r="E24">
        <v>6</v>
      </c>
      <c r="F24">
        <v>16.899999999999999</v>
      </c>
      <c r="G24" s="1">
        <v>0.37</v>
      </c>
      <c r="H24" s="2">
        <v>3.1E-2</v>
      </c>
      <c r="I24">
        <v>-0.2</v>
      </c>
      <c r="J24">
        <v>6</v>
      </c>
      <c r="K24">
        <v>11.12</v>
      </c>
      <c r="L24">
        <v>10.1</v>
      </c>
      <c r="N24">
        <v>18</v>
      </c>
      <c r="O24" t="s">
        <v>71</v>
      </c>
      <c r="P24" t="s">
        <v>127</v>
      </c>
      <c r="Q24">
        <v>8</v>
      </c>
      <c r="R24">
        <v>13.2</v>
      </c>
      <c r="S24" s="1">
        <v>0.54</v>
      </c>
      <c r="T24" s="2">
        <v>2.1000000000000001E-2</v>
      </c>
      <c r="U24">
        <v>2.7</v>
      </c>
      <c r="V24">
        <v>8</v>
      </c>
      <c r="W24">
        <v>4.05</v>
      </c>
      <c r="X24">
        <v>4.09</v>
      </c>
      <c r="Z24">
        <v>18</v>
      </c>
      <c r="AA24" t="s">
        <v>77</v>
      </c>
      <c r="AB24" t="s">
        <v>73</v>
      </c>
      <c r="AC24">
        <v>9</v>
      </c>
      <c r="AD24">
        <v>14</v>
      </c>
      <c r="AE24" s="1">
        <v>0.62</v>
      </c>
      <c r="AF24" s="2">
        <v>1.9E-2</v>
      </c>
      <c r="AG24">
        <v>1.3</v>
      </c>
      <c r="AH24">
        <v>5</v>
      </c>
      <c r="AI24">
        <v>4.04</v>
      </c>
      <c r="AJ24">
        <v>3.03</v>
      </c>
    </row>
    <row r="25" spans="2:36" x14ac:dyDescent="0.2">
      <c r="B25">
        <v>19</v>
      </c>
      <c r="C25" t="s">
        <v>130</v>
      </c>
      <c r="D25" t="s">
        <v>114</v>
      </c>
      <c r="E25">
        <v>8</v>
      </c>
      <c r="F25">
        <v>16.7</v>
      </c>
      <c r="G25" s="1">
        <v>0.34</v>
      </c>
      <c r="H25" s="2">
        <v>3.1E-2</v>
      </c>
      <c r="I25">
        <v>-0.4</v>
      </c>
      <c r="J25">
        <v>6</v>
      </c>
      <c r="K25">
        <v>14.05</v>
      </c>
      <c r="L25">
        <v>10.050000000000001</v>
      </c>
      <c r="N25">
        <v>19</v>
      </c>
      <c r="O25" t="s">
        <v>62</v>
      </c>
      <c r="P25" t="s">
        <v>59</v>
      </c>
      <c r="Q25">
        <v>12</v>
      </c>
      <c r="R25">
        <v>13.1</v>
      </c>
      <c r="S25" s="1">
        <v>0.52</v>
      </c>
      <c r="T25" s="2">
        <v>2.1000000000000001E-2</v>
      </c>
      <c r="U25">
        <v>2.5</v>
      </c>
      <c r="V25">
        <v>8</v>
      </c>
      <c r="W25">
        <v>4</v>
      </c>
      <c r="X25">
        <v>4.09</v>
      </c>
      <c r="Z25">
        <v>19</v>
      </c>
      <c r="AA25" t="s">
        <v>61</v>
      </c>
      <c r="AB25" t="s">
        <v>131</v>
      </c>
      <c r="AC25">
        <v>5</v>
      </c>
      <c r="AD25">
        <v>14</v>
      </c>
      <c r="AE25" s="1">
        <v>0.6</v>
      </c>
      <c r="AF25" s="2">
        <v>1.9E-2</v>
      </c>
      <c r="AG25">
        <v>1.2</v>
      </c>
      <c r="AH25">
        <v>5</v>
      </c>
      <c r="AI25">
        <v>5.01</v>
      </c>
      <c r="AJ25">
        <v>4.1100000000000003</v>
      </c>
    </row>
    <row r="26" spans="2:36" x14ac:dyDescent="0.2">
      <c r="B26">
        <v>20</v>
      </c>
      <c r="C26" t="s">
        <v>132</v>
      </c>
      <c r="D26" t="s">
        <v>40</v>
      </c>
      <c r="E26">
        <v>5</v>
      </c>
      <c r="F26">
        <v>16.600000000000001</v>
      </c>
      <c r="G26" s="1">
        <v>0.31</v>
      </c>
      <c r="H26" s="2">
        <v>0.03</v>
      </c>
      <c r="I26">
        <v>-0.5</v>
      </c>
      <c r="J26">
        <v>6</v>
      </c>
      <c r="K26">
        <v>12.05</v>
      </c>
      <c r="L26">
        <v>10.050000000000001</v>
      </c>
      <c r="N26">
        <v>20</v>
      </c>
      <c r="O26" t="s">
        <v>133</v>
      </c>
      <c r="P26" t="s">
        <v>134</v>
      </c>
      <c r="Q26">
        <v>10</v>
      </c>
      <c r="R26">
        <v>12.7</v>
      </c>
      <c r="S26" s="1">
        <v>0.5</v>
      </c>
      <c r="T26" s="2">
        <v>0.02</v>
      </c>
      <c r="U26">
        <v>2.2000000000000002</v>
      </c>
      <c r="V26">
        <v>8</v>
      </c>
      <c r="W26">
        <v>6.06</v>
      </c>
      <c r="X26">
        <v>6.02</v>
      </c>
      <c r="Z26">
        <v>20</v>
      </c>
      <c r="AA26" t="s">
        <v>74</v>
      </c>
      <c r="AB26" t="s">
        <v>113</v>
      </c>
      <c r="AC26">
        <v>8</v>
      </c>
      <c r="AD26">
        <v>13.8</v>
      </c>
      <c r="AE26" s="1">
        <v>0.57999999999999996</v>
      </c>
      <c r="AF26" s="2">
        <v>1.7999999999999999E-2</v>
      </c>
      <c r="AG26">
        <v>1</v>
      </c>
      <c r="AH26">
        <v>5</v>
      </c>
      <c r="AI26">
        <v>4.05</v>
      </c>
      <c r="AJ26">
        <v>4.0199999999999996</v>
      </c>
    </row>
    <row r="27" spans="2:36" x14ac:dyDescent="0.2">
      <c r="B27">
        <v>21</v>
      </c>
      <c r="C27" t="s">
        <v>135</v>
      </c>
      <c r="D27" t="s">
        <v>80</v>
      </c>
      <c r="E27">
        <v>14</v>
      </c>
      <c r="F27">
        <v>15.9</v>
      </c>
      <c r="G27" s="1">
        <v>0.28000000000000003</v>
      </c>
      <c r="H27" s="2">
        <v>2.9000000000000001E-2</v>
      </c>
      <c r="I27">
        <v>-1.2</v>
      </c>
      <c r="J27">
        <v>7</v>
      </c>
      <c r="K27">
        <v>16.09</v>
      </c>
      <c r="L27">
        <v>12.07</v>
      </c>
      <c r="N27">
        <v>21</v>
      </c>
      <c r="O27" t="s">
        <v>69</v>
      </c>
      <c r="P27" t="s">
        <v>70</v>
      </c>
      <c r="Q27">
        <v>14</v>
      </c>
      <c r="R27">
        <v>12.4</v>
      </c>
      <c r="S27" s="1">
        <v>0.48</v>
      </c>
      <c r="T27" s="2">
        <v>0.02</v>
      </c>
      <c r="U27">
        <v>1.8</v>
      </c>
      <c r="V27">
        <v>9</v>
      </c>
      <c r="W27">
        <v>4.09</v>
      </c>
      <c r="X27">
        <v>5.0599999999999996</v>
      </c>
      <c r="Z27">
        <v>21</v>
      </c>
      <c r="AA27" t="s">
        <v>136</v>
      </c>
      <c r="AB27" t="s">
        <v>122</v>
      </c>
      <c r="AC27">
        <v>5</v>
      </c>
      <c r="AD27">
        <v>13.7</v>
      </c>
      <c r="AE27" s="1">
        <v>0.56000000000000005</v>
      </c>
      <c r="AF27" s="2">
        <v>1.7999999999999999E-2</v>
      </c>
      <c r="AG27">
        <v>1</v>
      </c>
      <c r="AH27">
        <v>5</v>
      </c>
      <c r="AI27">
        <v>5.0199999999999996</v>
      </c>
      <c r="AJ27">
        <v>4.07</v>
      </c>
    </row>
    <row r="28" spans="2:36" x14ac:dyDescent="0.2">
      <c r="B28">
        <v>22</v>
      </c>
      <c r="C28" t="s">
        <v>137</v>
      </c>
      <c r="D28" t="s">
        <v>100</v>
      </c>
      <c r="E28">
        <v>5</v>
      </c>
      <c r="F28">
        <v>15.9</v>
      </c>
      <c r="G28" s="1">
        <v>0.25</v>
      </c>
      <c r="H28" s="2">
        <v>2.9000000000000001E-2</v>
      </c>
      <c r="I28">
        <v>-1.2</v>
      </c>
      <c r="J28">
        <v>7</v>
      </c>
      <c r="K28">
        <v>16.059999999999999</v>
      </c>
      <c r="L28">
        <v>13.02</v>
      </c>
      <c r="N28">
        <v>22</v>
      </c>
      <c r="O28" t="s">
        <v>138</v>
      </c>
      <c r="P28" t="s">
        <v>106</v>
      </c>
      <c r="Q28">
        <v>6</v>
      </c>
      <c r="R28">
        <v>12.2</v>
      </c>
      <c r="S28" s="1">
        <v>0.46</v>
      </c>
      <c r="T28" s="2">
        <v>0.02</v>
      </c>
      <c r="U28">
        <v>1.6</v>
      </c>
      <c r="V28">
        <v>9</v>
      </c>
      <c r="W28">
        <v>6.05</v>
      </c>
      <c r="X28">
        <v>6.11</v>
      </c>
      <c r="Z28">
        <v>22</v>
      </c>
      <c r="AA28" t="s">
        <v>75</v>
      </c>
      <c r="AB28" t="s">
        <v>76</v>
      </c>
      <c r="AC28">
        <v>10</v>
      </c>
      <c r="AD28">
        <v>13.5</v>
      </c>
      <c r="AE28" s="1">
        <v>0.54</v>
      </c>
      <c r="AF28" s="2">
        <v>1.7999999999999999E-2</v>
      </c>
      <c r="AG28">
        <v>0.8</v>
      </c>
      <c r="AH28">
        <v>6</v>
      </c>
      <c r="AI28">
        <v>5.07</v>
      </c>
      <c r="AJ28">
        <v>5.07</v>
      </c>
    </row>
    <row r="29" spans="2:36" x14ac:dyDescent="0.2">
      <c r="B29">
        <v>23</v>
      </c>
      <c r="C29" t="s">
        <v>139</v>
      </c>
      <c r="D29" t="s">
        <v>108</v>
      </c>
      <c r="E29">
        <v>12</v>
      </c>
      <c r="F29">
        <v>15.8</v>
      </c>
      <c r="G29" s="1">
        <v>0.23</v>
      </c>
      <c r="H29" s="2">
        <v>2.9000000000000001E-2</v>
      </c>
      <c r="I29">
        <v>-1.2</v>
      </c>
      <c r="J29">
        <v>7</v>
      </c>
      <c r="K29">
        <v>15.07</v>
      </c>
      <c r="L29">
        <v>12.05</v>
      </c>
      <c r="N29">
        <v>23</v>
      </c>
      <c r="O29" t="s">
        <v>140</v>
      </c>
      <c r="P29" t="s">
        <v>122</v>
      </c>
      <c r="Q29">
        <v>5</v>
      </c>
      <c r="R29">
        <v>12.1</v>
      </c>
      <c r="S29" s="1">
        <v>0.44</v>
      </c>
      <c r="T29" s="2">
        <v>1.9E-2</v>
      </c>
      <c r="U29">
        <v>1.5</v>
      </c>
      <c r="V29">
        <v>9</v>
      </c>
      <c r="W29">
        <v>5.09</v>
      </c>
      <c r="X29">
        <v>6.04</v>
      </c>
      <c r="Z29">
        <v>23</v>
      </c>
      <c r="AA29" t="s">
        <v>78</v>
      </c>
      <c r="AB29" t="s">
        <v>102</v>
      </c>
      <c r="AC29">
        <v>7</v>
      </c>
      <c r="AD29">
        <v>13.3</v>
      </c>
      <c r="AE29" s="1">
        <v>0.52</v>
      </c>
      <c r="AF29" s="2">
        <v>1.7999999999999999E-2</v>
      </c>
      <c r="AG29">
        <v>0.5</v>
      </c>
      <c r="AH29">
        <v>6</v>
      </c>
      <c r="AI29">
        <v>6.02</v>
      </c>
      <c r="AJ29">
        <v>5.0999999999999996</v>
      </c>
    </row>
    <row r="30" spans="2:36" x14ac:dyDescent="0.2">
      <c r="B30">
        <v>24</v>
      </c>
      <c r="C30" t="s">
        <v>141</v>
      </c>
      <c r="D30" t="s">
        <v>33</v>
      </c>
      <c r="E30">
        <v>8</v>
      </c>
      <c r="F30">
        <v>15.7</v>
      </c>
      <c r="G30" s="1">
        <v>0.2</v>
      </c>
      <c r="H30" s="2">
        <v>2.9000000000000001E-2</v>
      </c>
      <c r="I30">
        <v>-1.4</v>
      </c>
      <c r="J30">
        <v>7</v>
      </c>
      <c r="K30">
        <v>18</v>
      </c>
      <c r="L30">
        <v>13.08</v>
      </c>
      <c r="N30">
        <v>24</v>
      </c>
      <c r="O30" t="s">
        <v>142</v>
      </c>
      <c r="P30" t="s">
        <v>105</v>
      </c>
      <c r="Q30">
        <v>8</v>
      </c>
      <c r="R30">
        <v>11.8</v>
      </c>
      <c r="S30" s="1">
        <v>0.42</v>
      </c>
      <c r="T30" s="2">
        <v>1.9E-2</v>
      </c>
      <c r="U30">
        <v>1.3</v>
      </c>
      <c r="V30">
        <v>9</v>
      </c>
      <c r="W30">
        <v>5.12</v>
      </c>
      <c r="X30">
        <v>6.09</v>
      </c>
      <c r="Z30">
        <v>24</v>
      </c>
      <c r="AA30" t="s">
        <v>143</v>
      </c>
      <c r="AB30" t="s">
        <v>80</v>
      </c>
      <c r="AC30">
        <v>14</v>
      </c>
      <c r="AD30">
        <v>13.2</v>
      </c>
      <c r="AE30" s="1">
        <v>0.51</v>
      </c>
      <c r="AF30" s="2">
        <v>1.7999999999999999E-2</v>
      </c>
      <c r="AG30">
        <v>0.5</v>
      </c>
      <c r="AH30">
        <v>6</v>
      </c>
      <c r="AI30">
        <v>5.1100000000000003</v>
      </c>
      <c r="AJ30">
        <v>4.0999999999999996</v>
      </c>
    </row>
    <row r="31" spans="2:36" x14ac:dyDescent="0.2">
      <c r="B31">
        <v>25</v>
      </c>
      <c r="C31" t="s">
        <v>144</v>
      </c>
      <c r="D31" t="s">
        <v>134</v>
      </c>
      <c r="E31">
        <v>10</v>
      </c>
      <c r="F31">
        <v>15.7</v>
      </c>
      <c r="G31" s="1">
        <v>0.17</v>
      </c>
      <c r="H31" s="2">
        <v>2.9000000000000001E-2</v>
      </c>
      <c r="I31">
        <v>-1.4</v>
      </c>
      <c r="J31">
        <v>7</v>
      </c>
      <c r="K31">
        <v>15.12</v>
      </c>
      <c r="L31">
        <v>15.04</v>
      </c>
      <c r="N31">
        <v>25</v>
      </c>
      <c r="O31" t="s">
        <v>145</v>
      </c>
      <c r="P31" t="s">
        <v>117</v>
      </c>
      <c r="Q31">
        <v>12</v>
      </c>
      <c r="R31">
        <v>11.2</v>
      </c>
      <c r="S31" s="1">
        <v>0.41</v>
      </c>
      <c r="T31" s="2">
        <v>1.7999999999999999E-2</v>
      </c>
      <c r="U31">
        <v>0.6</v>
      </c>
      <c r="V31">
        <v>10</v>
      </c>
      <c r="W31">
        <v>6.02</v>
      </c>
      <c r="X31">
        <v>6.07</v>
      </c>
      <c r="Z31">
        <v>25</v>
      </c>
      <c r="AA31" t="s">
        <v>146</v>
      </c>
      <c r="AB31" t="s">
        <v>117</v>
      </c>
      <c r="AC31">
        <v>12</v>
      </c>
      <c r="AD31">
        <v>13.2</v>
      </c>
      <c r="AE31" s="1">
        <v>0.49</v>
      </c>
      <c r="AF31" s="2">
        <v>1.7999999999999999E-2</v>
      </c>
      <c r="AG31">
        <v>0.4</v>
      </c>
      <c r="AH31">
        <v>6</v>
      </c>
      <c r="AI31">
        <v>5.05</v>
      </c>
      <c r="AJ31">
        <v>4.09</v>
      </c>
    </row>
    <row r="32" spans="2:36" x14ac:dyDescent="0.2">
      <c r="B32">
        <v>26</v>
      </c>
      <c r="C32" t="s">
        <v>147</v>
      </c>
      <c r="D32" t="s">
        <v>29</v>
      </c>
      <c r="E32">
        <v>8</v>
      </c>
      <c r="F32">
        <v>15.6</v>
      </c>
      <c r="G32" s="1">
        <v>0.14000000000000001</v>
      </c>
      <c r="H32" s="2">
        <v>2.8000000000000001E-2</v>
      </c>
      <c r="I32">
        <v>-1.5</v>
      </c>
      <c r="J32">
        <v>7</v>
      </c>
      <c r="K32">
        <v>16.010000000000002</v>
      </c>
      <c r="L32">
        <v>13.11</v>
      </c>
      <c r="N32">
        <v>26</v>
      </c>
      <c r="O32" t="s">
        <v>148</v>
      </c>
      <c r="P32" t="s">
        <v>76</v>
      </c>
      <c r="Q32">
        <v>10</v>
      </c>
      <c r="R32">
        <v>10.9</v>
      </c>
      <c r="S32" s="1">
        <v>0.39</v>
      </c>
      <c r="T32" s="2">
        <v>1.7999999999999999E-2</v>
      </c>
      <c r="U32">
        <v>0.4</v>
      </c>
      <c r="V32">
        <v>10</v>
      </c>
      <c r="W32">
        <v>6.01</v>
      </c>
      <c r="X32">
        <v>6.07</v>
      </c>
      <c r="Z32">
        <v>26</v>
      </c>
      <c r="AA32" t="s">
        <v>149</v>
      </c>
      <c r="AB32" t="s">
        <v>103</v>
      </c>
      <c r="AC32">
        <v>9</v>
      </c>
      <c r="AD32">
        <v>13</v>
      </c>
      <c r="AE32" s="1">
        <v>0.47</v>
      </c>
      <c r="AF32" s="2">
        <v>1.7000000000000001E-2</v>
      </c>
      <c r="AG32">
        <v>0.3</v>
      </c>
      <c r="AH32">
        <v>6</v>
      </c>
      <c r="AI32">
        <v>5.0999999999999996</v>
      </c>
      <c r="AJ32">
        <v>5.01</v>
      </c>
    </row>
    <row r="33" spans="2:36" x14ac:dyDescent="0.2">
      <c r="B33">
        <v>27</v>
      </c>
      <c r="C33" t="s">
        <v>150</v>
      </c>
      <c r="D33" t="s">
        <v>127</v>
      </c>
      <c r="E33">
        <v>8</v>
      </c>
      <c r="F33">
        <v>15.4</v>
      </c>
      <c r="G33" s="1">
        <v>0.11</v>
      </c>
      <c r="H33" s="2">
        <v>2.8000000000000001E-2</v>
      </c>
      <c r="I33">
        <v>-1.7</v>
      </c>
      <c r="J33">
        <v>7</v>
      </c>
      <c r="K33">
        <v>18.02</v>
      </c>
      <c r="L33">
        <v>15.09</v>
      </c>
      <c r="N33">
        <v>27</v>
      </c>
      <c r="O33" t="s">
        <v>151</v>
      </c>
      <c r="P33" t="s">
        <v>27</v>
      </c>
      <c r="Q33">
        <v>14</v>
      </c>
      <c r="R33">
        <v>10.8</v>
      </c>
      <c r="S33" s="1">
        <v>0.37</v>
      </c>
      <c r="T33" s="2">
        <v>1.7000000000000001E-2</v>
      </c>
      <c r="U33">
        <v>0.3</v>
      </c>
      <c r="V33">
        <v>10</v>
      </c>
      <c r="W33">
        <v>7.09</v>
      </c>
      <c r="X33">
        <v>7.09</v>
      </c>
      <c r="Z33">
        <v>27</v>
      </c>
      <c r="AA33" t="s">
        <v>152</v>
      </c>
      <c r="AB33" t="s">
        <v>153</v>
      </c>
      <c r="AC33">
        <v>9</v>
      </c>
      <c r="AD33">
        <v>13</v>
      </c>
      <c r="AE33" s="1">
        <v>0.45</v>
      </c>
      <c r="AF33" s="2">
        <v>1.7000000000000001E-2</v>
      </c>
      <c r="AG33">
        <v>0.3</v>
      </c>
      <c r="AH33">
        <v>6</v>
      </c>
      <c r="AI33">
        <v>7.02</v>
      </c>
      <c r="AJ33">
        <v>7.02</v>
      </c>
    </row>
    <row r="34" spans="2:36" x14ac:dyDescent="0.2">
      <c r="B34">
        <v>28</v>
      </c>
      <c r="C34" t="s">
        <v>154</v>
      </c>
      <c r="D34" t="s">
        <v>131</v>
      </c>
      <c r="E34">
        <v>5</v>
      </c>
      <c r="F34">
        <v>14.3</v>
      </c>
      <c r="G34" s="1">
        <v>0.09</v>
      </c>
      <c r="H34" s="2">
        <v>2.5999999999999999E-2</v>
      </c>
      <c r="I34">
        <v>-2.8</v>
      </c>
      <c r="J34">
        <v>8</v>
      </c>
      <c r="K34">
        <v>17.09</v>
      </c>
      <c r="L34">
        <v>18.07</v>
      </c>
      <c r="N34">
        <v>28</v>
      </c>
      <c r="O34" t="s">
        <v>155</v>
      </c>
      <c r="P34" t="s">
        <v>131</v>
      </c>
      <c r="Q34">
        <v>5</v>
      </c>
      <c r="R34">
        <v>10.7</v>
      </c>
      <c r="S34" s="1">
        <v>0.35</v>
      </c>
      <c r="T34" s="2">
        <v>1.7000000000000001E-2</v>
      </c>
      <c r="U34">
        <v>0.1</v>
      </c>
      <c r="V34">
        <v>10</v>
      </c>
      <c r="W34">
        <v>8.0399999999999991</v>
      </c>
      <c r="X34">
        <v>7.1</v>
      </c>
      <c r="Z34">
        <v>28</v>
      </c>
      <c r="AA34" t="s">
        <v>156</v>
      </c>
      <c r="AB34" t="s">
        <v>134</v>
      </c>
      <c r="AC34">
        <v>10</v>
      </c>
      <c r="AD34">
        <v>12.8</v>
      </c>
      <c r="AE34" s="1">
        <v>0.44</v>
      </c>
      <c r="AF34" s="2">
        <v>1.7000000000000001E-2</v>
      </c>
      <c r="AG34">
        <v>0</v>
      </c>
      <c r="AH34">
        <v>6</v>
      </c>
      <c r="AI34">
        <v>6.04</v>
      </c>
      <c r="AJ34">
        <v>5.08</v>
      </c>
    </row>
    <row r="35" spans="2:36" x14ac:dyDescent="0.2">
      <c r="B35">
        <v>29</v>
      </c>
      <c r="C35" t="s">
        <v>157</v>
      </c>
      <c r="D35" t="s">
        <v>118</v>
      </c>
      <c r="E35">
        <v>11</v>
      </c>
      <c r="F35">
        <v>13.9</v>
      </c>
      <c r="G35" s="1">
        <v>0.06</v>
      </c>
      <c r="H35" s="2">
        <v>2.5000000000000001E-2</v>
      </c>
      <c r="I35">
        <v>-3.2</v>
      </c>
      <c r="J35">
        <v>8</v>
      </c>
      <c r="K35">
        <v>22.08</v>
      </c>
      <c r="L35">
        <v>20.09</v>
      </c>
      <c r="N35">
        <v>29</v>
      </c>
      <c r="O35" t="s">
        <v>158</v>
      </c>
      <c r="P35" t="s">
        <v>107</v>
      </c>
      <c r="Q35">
        <v>12</v>
      </c>
      <c r="R35">
        <v>10.199999999999999</v>
      </c>
      <c r="S35" s="1">
        <v>0.34</v>
      </c>
      <c r="T35" s="2">
        <v>1.6E-2</v>
      </c>
      <c r="U35">
        <v>-0.4</v>
      </c>
      <c r="V35">
        <v>11</v>
      </c>
      <c r="W35">
        <v>10.07</v>
      </c>
      <c r="X35">
        <v>10.08</v>
      </c>
      <c r="Z35">
        <v>29</v>
      </c>
      <c r="AA35" t="s">
        <v>159</v>
      </c>
      <c r="AB35" t="s">
        <v>105</v>
      </c>
      <c r="AC35">
        <v>8</v>
      </c>
      <c r="AD35">
        <v>12.5</v>
      </c>
      <c r="AE35" s="1">
        <v>0.42</v>
      </c>
      <c r="AF35" s="2">
        <v>1.7000000000000001E-2</v>
      </c>
      <c r="AG35">
        <v>-0.3</v>
      </c>
      <c r="AH35">
        <v>6</v>
      </c>
      <c r="AI35">
        <v>6</v>
      </c>
      <c r="AJ35">
        <v>6.01</v>
      </c>
    </row>
    <row r="36" spans="2:36" x14ac:dyDescent="0.2">
      <c r="B36">
        <v>30</v>
      </c>
      <c r="C36" t="s">
        <v>160</v>
      </c>
      <c r="D36" t="s">
        <v>27</v>
      </c>
      <c r="E36">
        <v>14</v>
      </c>
      <c r="F36">
        <v>11.7</v>
      </c>
      <c r="G36" s="1">
        <v>0.04</v>
      </c>
      <c r="H36" s="2">
        <v>2.1000000000000001E-2</v>
      </c>
      <c r="I36">
        <v>-5.3</v>
      </c>
      <c r="J36">
        <v>9</v>
      </c>
      <c r="K36">
        <v>20.11</v>
      </c>
      <c r="L36">
        <v>21.12</v>
      </c>
      <c r="N36">
        <v>30</v>
      </c>
      <c r="O36" t="s">
        <v>161</v>
      </c>
      <c r="P36" t="s">
        <v>131</v>
      </c>
      <c r="Q36">
        <v>5</v>
      </c>
      <c r="R36">
        <v>10.199999999999999</v>
      </c>
      <c r="S36" s="1">
        <v>0.32</v>
      </c>
      <c r="T36" s="2">
        <v>1.6E-2</v>
      </c>
      <c r="U36">
        <v>-0.4</v>
      </c>
      <c r="V36">
        <v>11</v>
      </c>
      <c r="W36">
        <v>7.08</v>
      </c>
      <c r="X36">
        <v>8.07</v>
      </c>
      <c r="Z36">
        <v>30</v>
      </c>
      <c r="AA36" t="s">
        <v>162</v>
      </c>
      <c r="AB36" t="s">
        <v>104</v>
      </c>
      <c r="AC36">
        <v>10</v>
      </c>
      <c r="AD36">
        <v>12.4</v>
      </c>
      <c r="AE36" s="1">
        <v>0.4</v>
      </c>
      <c r="AF36" s="2">
        <v>1.7000000000000001E-2</v>
      </c>
      <c r="AG36">
        <v>-0.3</v>
      </c>
      <c r="AH36">
        <v>6</v>
      </c>
      <c r="AI36">
        <v>6.05</v>
      </c>
      <c r="AJ36">
        <v>5.09</v>
      </c>
    </row>
    <row r="37" spans="2:36" x14ac:dyDescent="0.2">
      <c r="B37">
        <v>31</v>
      </c>
      <c r="C37" t="s">
        <v>163</v>
      </c>
      <c r="D37" t="s">
        <v>68</v>
      </c>
      <c r="E37">
        <v>11</v>
      </c>
      <c r="F37">
        <v>11.5</v>
      </c>
      <c r="G37" s="1">
        <v>0.02</v>
      </c>
      <c r="H37" s="2">
        <v>2.1000000000000001E-2</v>
      </c>
      <c r="I37">
        <v>-5.6</v>
      </c>
      <c r="J37">
        <v>9</v>
      </c>
      <c r="K37">
        <v>29.01</v>
      </c>
      <c r="L37">
        <v>25.06</v>
      </c>
      <c r="N37">
        <v>31</v>
      </c>
      <c r="O37" t="s">
        <v>164</v>
      </c>
      <c r="P37" t="s">
        <v>127</v>
      </c>
      <c r="Q37">
        <v>8</v>
      </c>
      <c r="R37">
        <v>9.1999999999999993</v>
      </c>
      <c r="S37" s="1">
        <v>0.31</v>
      </c>
      <c r="T37" s="2">
        <v>1.4999999999999999E-2</v>
      </c>
      <c r="U37">
        <v>-1.3</v>
      </c>
      <c r="V37">
        <v>12</v>
      </c>
      <c r="W37">
        <v>10.039999999999999</v>
      </c>
      <c r="X37">
        <v>8.1199999999999992</v>
      </c>
      <c r="Z37">
        <v>31</v>
      </c>
      <c r="AA37" t="s">
        <v>165</v>
      </c>
      <c r="AB37" t="s">
        <v>108</v>
      </c>
      <c r="AC37">
        <v>12</v>
      </c>
      <c r="AD37">
        <v>12.3</v>
      </c>
      <c r="AE37" s="1">
        <v>0.39</v>
      </c>
      <c r="AF37" s="2">
        <v>1.6E-2</v>
      </c>
      <c r="AG37">
        <v>-0.4</v>
      </c>
      <c r="AH37">
        <v>7</v>
      </c>
      <c r="AI37">
        <v>6.12</v>
      </c>
      <c r="AJ37">
        <v>5.07</v>
      </c>
    </row>
    <row r="38" spans="2:36" x14ac:dyDescent="0.2">
      <c r="B38">
        <v>32</v>
      </c>
      <c r="C38" t="s">
        <v>166</v>
      </c>
      <c r="D38" t="s">
        <v>153</v>
      </c>
      <c r="E38">
        <v>9</v>
      </c>
      <c r="F38">
        <v>9.6</v>
      </c>
      <c r="G38" s="1">
        <v>0</v>
      </c>
      <c r="H38" s="2">
        <v>1.7999999999999999E-2</v>
      </c>
      <c r="I38">
        <v>-7.5</v>
      </c>
      <c r="J38">
        <v>10</v>
      </c>
      <c r="K38">
        <v>24.04</v>
      </c>
      <c r="L38">
        <v>23.04</v>
      </c>
      <c r="N38">
        <v>32</v>
      </c>
      <c r="O38" t="s">
        <v>167</v>
      </c>
      <c r="P38" t="s">
        <v>107</v>
      </c>
      <c r="Q38">
        <v>12</v>
      </c>
      <c r="R38">
        <v>9</v>
      </c>
      <c r="S38" s="1">
        <v>0.28999999999999998</v>
      </c>
      <c r="T38" s="2">
        <v>1.4E-2</v>
      </c>
      <c r="U38">
        <v>-1.6</v>
      </c>
      <c r="V38">
        <v>12</v>
      </c>
      <c r="W38">
        <v>9.07</v>
      </c>
      <c r="X38">
        <v>9.1199999999999992</v>
      </c>
      <c r="Z38">
        <v>32</v>
      </c>
      <c r="AA38" t="s">
        <v>168</v>
      </c>
      <c r="AB38" t="s">
        <v>107</v>
      </c>
      <c r="AC38">
        <v>12</v>
      </c>
      <c r="AD38">
        <v>11.8</v>
      </c>
      <c r="AE38" s="1">
        <v>0.37</v>
      </c>
      <c r="AF38" s="2">
        <v>1.6E-2</v>
      </c>
      <c r="AG38">
        <v>-1</v>
      </c>
      <c r="AH38">
        <v>7</v>
      </c>
      <c r="AI38">
        <v>8.01</v>
      </c>
      <c r="AJ38">
        <v>8.1199999999999992</v>
      </c>
    </row>
    <row r="39" spans="2:36" x14ac:dyDescent="0.2">
      <c r="N39">
        <v>33</v>
      </c>
      <c r="O39" t="s">
        <v>169</v>
      </c>
      <c r="P39" t="s">
        <v>104</v>
      </c>
      <c r="Q39">
        <v>10</v>
      </c>
      <c r="R39">
        <v>9</v>
      </c>
      <c r="S39" s="1">
        <v>0.28000000000000003</v>
      </c>
      <c r="T39" s="2">
        <v>1.4E-2</v>
      </c>
      <c r="U39">
        <v>-1.6</v>
      </c>
      <c r="V39">
        <v>12</v>
      </c>
      <c r="W39">
        <v>10.029999999999999</v>
      </c>
      <c r="X39">
        <v>9.08</v>
      </c>
      <c r="Z39">
        <v>33</v>
      </c>
      <c r="AA39" t="s">
        <v>170</v>
      </c>
      <c r="AB39" t="s">
        <v>114</v>
      </c>
      <c r="AC39">
        <v>8</v>
      </c>
      <c r="AD39">
        <v>11.8</v>
      </c>
      <c r="AE39" s="1">
        <v>0.36</v>
      </c>
      <c r="AF39" s="2">
        <v>1.6E-2</v>
      </c>
      <c r="AG39">
        <v>-1</v>
      </c>
      <c r="AH39">
        <v>7</v>
      </c>
      <c r="AI39">
        <v>6.1</v>
      </c>
      <c r="AJ39">
        <v>6.1</v>
      </c>
    </row>
    <row r="40" spans="2:36" x14ac:dyDescent="0.2">
      <c r="B40" t="s">
        <v>43</v>
      </c>
      <c r="N40">
        <v>34</v>
      </c>
      <c r="O40" t="s">
        <v>171</v>
      </c>
      <c r="P40" t="s">
        <v>114</v>
      </c>
      <c r="Q40">
        <v>8</v>
      </c>
      <c r="R40">
        <v>8.9</v>
      </c>
      <c r="S40" s="1">
        <v>0.26</v>
      </c>
      <c r="T40" s="2">
        <v>1.4E-2</v>
      </c>
      <c r="U40">
        <v>-1.7</v>
      </c>
      <c r="V40">
        <v>12</v>
      </c>
      <c r="W40">
        <v>9.0299999999999994</v>
      </c>
      <c r="X40">
        <v>8.06</v>
      </c>
      <c r="Z40">
        <v>34</v>
      </c>
      <c r="AA40" t="s">
        <v>172</v>
      </c>
      <c r="AB40" t="s">
        <v>33</v>
      </c>
      <c r="AC40">
        <v>8</v>
      </c>
      <c r="AD40">
        <v>11.7</v>
      </c>
      <c r="AE40" s="1">
        <v>0.34</v>
      </c>
      <c r="AF40" s="2">
        <v>1.6E-2</v>
      </c>
      <c r="AG40">
        <v>-1</v>
      </c>
      <c r="AH40">
        <v>7</v>
      </c>
      <c r="AI40">
        <v>8.06</v>
      </c>
      <c r="AJ40">
        <v>7.12</v>
      </c>
    </row>
    <row r="41" spans="2:36" x14ac:dyDescent="0.2">
      <c r="B41" t="s">
        <v>87</v>
      </c>
      <c r="C41" t="s">
        <v>88</v>
      </c>
      <c r="D41" t="s">
        <v>89</v>
      </c>
      <c r="E41" t="s">
        <v>90</v>
      </c>
      <c r="F41" t="s">
        <v>91</v>
      </c>
      <c r="G41" t="s">
        <v>92</v>
      </c>
      <c r="H41" t="s">
        <v>98</v>
      </c>
      <c r="I41" t="s">
        <v>94</v>
      </c>
      <c r="J41" t="s">
        <v>95</v>
      </c>
      <c r="K41" t="s">
        <v>96</v>
      </c>
      <c r="L41" t="s">
        <v>97</v>
      </c>
      <c r="N41">
        <v>35</v>
      </c>
      <c r="O41" t="s">
        <v>173</v>
      </c>
      <c r="P41" t="s">
        <v>117</v>
      </c>
      <c r="Q41">
        <v>12</v>
      </c>
      <c r="R41">
        <v>8.8000000000000007</v>
      </c>
      <c r="S41" s="1">
        <v>0.25</v>
      </c>
      <c r="T41" s="2">
        <v>1.4E-2</v>
      </c>
      <c r="U41">
        <v>-1.7</v>
      </c>
      <c r="V41">
        <v>12</v>
      </c>
      <c r="W41">
        <v>9.1</v>
      </c>
      <c r="X41">
        <v>9.11</v>
      </c>
      <c r="Z41">
        <v>35</v>
      </c>
      <c r="AA41" t="s">
        <v>174</v>
      </c>
      <c r="AB41" t="s">
        <v>70</v>
      </c>
      <c r="AC41">
        <v>14</v>
      </c>
      <c r="AD41">
        <v>11.6</v>
      </c>
      <c r="AE41" s="1">
        <v>0.33</v>
      </c>
      <c r="AF41" s="2">
        <v>1.4999999999999999E-2</v>
      </c>
      <c r="AG41">
        <v>-1.2</v>
      </c>
      <c r="AH41">
        <v>7</v>
      </c>
      <c r="AI41">
        <v>8.0299999999999994</v>
      </c>
      <c r="AJ41">
        <v>7.04</v>
      </c>
    </row>
    <row r="42" spans="2:36" x14ac:dyDescent="0.2">
      <c r="B42">
        <v>1</v>
      </c>
      <c r="C42" t="s">
        <v>42</v>
      </c>
      <c r="D42" t="s">
        <v>33</v>
      </c>
      <c r="E42">
        <v>8</v>
      </c>
      <c r="F42">
        <v>14.9</v>
      </c>
      <c r="G42" s="1">
        <v>0.95</v>
      </c>
      <c r="H42" s="2">
        <v>5.2999999999999999E-2</v>
      </c>
      <c r="I42">
        <v>6.1</v>
      </c>
      <c r="J42">
        <v>1</v>
      </c>
      <c r="K42">
        <v>2.08</v>
      </c>
      <c r="L42">
        <v>2.06</v>
      </c>
      <c r="N42">
        <v>36</v>
      </c>
      <c r="O42" t="s">
        <v>175</v>
      </c>
      <c r="P42" t="s">
        <v>70</v>
      </c>
      <c r="Q42">
        <v>14</v>
      </c>
      <c r="R42">
        <v>8.5</v>
      </c>
      <c r="S42" s="1">
        <v>0.24</v>
      </c>
      <c r="T42" s="2">
        <v>1.4E-2</v>
      </c>
      <c r="U42">
        <v>-2.1</v>
      </c>
      <c r="V42">
        <v>12</v>
      </c>
      <c r="W42">
        <v>10.07</v>
      </c>
      <c r="X42">
        <v>10.11</v>
      </c>
      <c r="Z42">
        <v>36</v>
      </c>
      <c r="AA42" t="s">
        <v>176</v>
      </c>
      <c r="AB42" t="s">
        <v>68</v>
      </c>
      <c r="AC42">
        <v>11</v>
      </c>
      <c r="AD42">
        <v>11.6</v>
      </c>
      <c r="AE42" s="1">
        <v>0.31</v>
      </c>
      <c r="AF42" s="2">
        <v>1.4999999999999999E-2</v>
      </c>
      <c r="AG42">
        <v>-1.2</v>
      </c>
      <c r="AH42">
        <v>7</v>
      </c>
      <c r="AI42">
        <v>7.1</v>
      </c>
      <c r="AJ42">
        <v>6.07</v>
      </c>
    </row>
    <row r="43" spans="2:36" x14ac:dyDescent="0.2">
      <c r="B43">
        <v>2</v>
      </c>
      <c r="C43" t="s">
        <v>44</v>
      </c>
      <c r="D43" t="s">
        <v>113</v>
      </c>
      <c r="E43">
        <v>8</v>
      </c>
      <c r="F43">
        <v>14.4</v>
      </c>
      <c r="G43" s="1">
        <v>0.9</v>
      </c>
      <c r="H43" s="2">
        <v>5.0999999999999997E-2</v>
      </c>
      <c r="I43">
        <v>5.6</v>
      </c>
      <c r="J43">
        <v>1</v>
      </c>
      <c r="K43">
        <v>3.04</v>
      </c>
      <c r="L43">
        <v>2.1</v>
      </c>
      <c r="N43">
        <v>37</v>
      </c>
      <c r="O43" t="s">
        <v>177</v>
      </c>
      <c r="P43" t="s">
        <v>153</v>
      </c>
      <c r="Q43">
        <v>9</v>
      </c>
      <c r="R43">
        <v>8.4</v>
      </c>
      <c r="S43" s="1">
        <v>0.22</v>
      </c>
      <c r="T43" s="2">
        <v>1.2999999999999999E-2</v>
      </c>
      <c r="U43">
        <v>-2.2000000000000002</v>
      </c>
      <c r="V43">
        <v>12</v>
      </c>
      <c r="W43">
        <v>14.07</v>
      </c>
      <c r="X43">
        <v>13.03</v>
      </c>
      <c r="Z43">
        <v>37</v>
      </c>
      <c r="AA43" t="s">
        <v>178</v>
      </c>
      <c r="AB43" t="s">
        <v>122</v>
      </c>
      <c r="AC43">
        <v>5</v>
      </c>
      <c r="AD43">
        <v>11.5</v>
      </c>
      <c r="AE43" s="1">
        <v>0.3</v>
      </c>
      <c r="AF43" s="2">
        <v>1.4999999999999999E-2</v>
      </c>
      <c r="AG43">
        <v>-1.3</v>
      </c>
      <c r="AH43">
        <v>7</v>
      </c>
      <c r="AI43">
        <v>7.1</v>
      </c>
      <c r="AJ43">
        <v>7.03</v>
      </c>
    </row>
    <row r="44" spans="2:36" x14ac:dyDescent="0.2">
      <c r="B44">
        <v>3</v>
      </c>
      <c r="C44" t="s">
        <v>65</v>
      </c>
      <c r="D44" t="s">
        <v>24</v>
      </c>
      <c r="E44">
        <v>14</v>
      </c>
      <c r="F44">
        <v>13</v>
      </c>
      <c r="G44" s="1">
        <v>0.85</v>
      </c>
      <c r="H44" s="2">
        <v>4.5999999999999999E-2</v>
      </c>
      <c r="I44">
        <v>4.2</v>
      </c>
      <c r="J44">
        <v>2</v>
      </c>
      <c r="K44">
        <v>4.0199999999999996</v>
      </c>
      <c r="L44">
        <v>3.08</v>
      </c>
      <c r="N44">
        <v>38</v>
      </c>
      <c r="O44" t="s">
        <v>179</v>
      </c>
      <c r="P44" t="s">
        <v>111</v>
      </c>
      <c r="Q44">
        <v>6</v>
      </c>
      <c r="R44">
        <v>8.1</v>
      </c>
      <c r="S44" s="1">
        <v>0.21</v>
      </c>
      <c r="T44" s="2">
        <v>1.2999999999999999E-2</v>
      </c>
      <c r="U44">
        <v>-2.5</v>
      </c>
      <c r="V44">
        <v>13</v>
      </c>
      <c r="W44">
        <v>10.02</v>
      </c>
      <c r="X44">
        <v>13.1</v>
      </c>
      <c r="Z44">
        <v>38</v>
      </c>
      <c r="AA44" t="s">
        <v>180</v>
      </c>
      <c r="AB44" t="s">
        <v>127</v>
      </c>
      <c r="AC44">
        <v>8</v>
      </c>
      <c r="AD44">
        <v>11.5</v>
      </c>
      <c r="AE44" s="1">
        <v>0.28000000000000003</v>
      </c>
      <c r="AF44" s="2">
        <v>1.4999999999999999E-2</v>
      </c>
      <c r="AG44">
        <v>-1.3</v>
      </c>
      <c r="AH44">
        <v>7</v>
      </c>
      <c r="AI44">
        <v>8.07</v>
      </c>
      <c r="AJ44">
        <v>10</v>
      </c>
    </row>
    <row r="45" spans="2:36" x14ac:dyDescent="0.2">
      <c r="B45">
        <v>4</v>
      </c>
      <c r="C45" t="s">
        <v>181</v>
      </c>
      <c r="D45" t="s">
        <v>76</v>
      </c>
      <c r="E45">
        <v>10</v>
      </c>
      <c r="F45">
        <v>11.2</v>
      </c>
      <c r="G45" s="1">
        <v>0.81</v>
      </c>
      <c r="H45" s="2">
        <v>0.04</v>
      </c>
      <c r="I45">
        <v>2.4</v>
      </c>
      <c r="J45">
        <v>3</v>
      </c>
      <c r="K45">
        <v>6.03</v>
      </c>
      <c r="L45">
        <v>7.05</v>
      </c>
      <c r="N45">
        <v>39</v>
      </c>
      <c r="O45" t="s">
        <v>182</v>
      </c>
      <c r="P45" t="s">
        <v>106</v>
      </c>
      <c r="Q45">
        <v>6</v>
      </c>
      <c r="R45">
        <v>7.9</v>
      </c>
      <c r="S45" s="1">
        <v>0.2</v>
      </c>
      <c r="T45" s="2">
        <v>1.2999999999999999E-2</v>
      </c>
      <c r="U45">
        <v>-2.6</v>
      </c>
      <c r="V45">
        <v>13</v>
      </c>
      <c r="W45">
        <v>9.06</v>
      </c>
      <c r="X45">
        <v>9.0299999999999994</v>
      </c>
      <c r="Z45">
        <v>39</v>
      </c>
      <c r="AA45" t="s">
        <v>183</v>
      </c>
      <c r="AB45" t="s">
        <v>40</v>
      </c>
      <c r="AC45">
        <v>5</v>
      </c>
      <c r="AD45">
        <v>11.4</v>
      </c>
      <c r="AE45" s="1">
        <v>0.27</v>
      </c>
      <c r="AF45" s="2">
        <v>1.4999999999999999E-2</v>
      </c>
      <c r="AG45">
        <v>-1.4</v>
      </c>
      <c r="AH45">
        <v>7</v>
      </c>
      <c r="AI45">
        <v>8.09</v>
      </c>
      <c r="AJ45">
        <v>9.0399999999999991</v>
      </c>
    </row>
    <row r="46" spans="2:36" x14ac:dyDescent="0.2">
      <c r="B46">
        <v>5</v>
      </c>
      <c r="C46" t="s">
        <v>184</v>
      </c>
      <c r="D46" t="s">
        <v>105</v>
      </c>
      <c r="E46">
        <v>8</v>
      </c>
      <c r="F46">
        <v>11.2</v>
      </c>
      <c r="G46" s="1">
        <v>0.77</v>
      </c>
      <c r="H46" s="2">
        <v>0.04</v>
      </c>
      <c r="I46">
        <v>2.4</v>
      </c>
      <c r="J46">
        <v>3</v>
      </c>
      <c r="K46">
        <v>5.05</v>
      </c>
      <c r="L46">
        <v>6.09</v>
      </c>
      <c r="N46">
        <v>40</v>
      </c>
      <c r="O46" t="s">
        <v>185</v>
      </c>
      <c r="P46" t="s">
        <v>47</v>
      </c>
      <c r="Q46">
        <v>9</v>
      </c>
      <c r="R46">
        <v>7.9</v>
      </c>
      <c r="S46" s="1">
        <v>0.18</v>
      </c>
      <c r="T46" s="2">
        <v>1.2999999999999999E-2</v>
      </c>
      <c r="U46">
        <v>-2.7</v>
      </c>
      <c r="V46">
        <v>13</v>
      </c>
      <c r="W46">
        <v>13.01</v>
      </c>
      <c r="X46">
        <v>11.12</v>
      </c>
      <c r="Z46">
        <v>40</v>
      </c>
      <c r="AA46" t="s">
        <v>186</v>
      </c>
      <c r="AB46" t="s">
        <v>118</v>
      </c>
      <c r="AC46">
        <v>11</v>
      </c>
      <c r="AD46">
        <v>11.3</v>
      </c>
      <c r="AE46" s="1">
        <v>0.25</v>
      </c>
      <c r="AF46" s="2">
        <v>1.4999999999999999E-2</v>
      </c>
      <c r="AG46">
        <v>-1.4</v>
      </c>
      <c r="AH46">
        <v>7</v>
      </c>
      <c r="AI46">
        <v>10.050000000000001</v>
      </c>
      <c r="AJ46">
        <v>9.0299999999999994</v>
      </c>
    </row>
    <row r="47" spans="2:36" x14ac:dyDescent="0.2">
      <c r="B47">
        <v>6</v>
      </c>
      <c r="C47" t="s">
        <v>187</v>
      </c>
      <c r="D47" t="s">
        <v>153</v>
      </c>
      <c r="E47">
        <v>9</v>
      </c>
      <c r="F47">
        <v>10.6</v>
      </c>
      <c r="G47" s="1">
        <v>0.73</v>
      </c>
      <c r="H47" s="2">
        <v>3.7999999999999999E-2</v>
      </c>
      <c r="I47">
        <v>1.8</v>
      </c>
      <c r="J47">
        <v>3</v>
      </c>
      <c r="K47">
        <v>8.01</v>
      </c>
      <c r="L47">
        <v>8.0399999999999991</v>
      </c>
      <c r="N47">
        <v>41</v>
      </c>
      <c r="O47" t="s">
        <v>188</v>
      </c>
      <c r="P47" t="s">
        <v>27</v>
      </c>
      <c r="Q47">
        <v>14</v>
      </c>
      <c r="R47">
        <v>7.1</v>
      </c>
      <c r="S47" s="1">
        <v>0.17</v>
      </c>
      <c r="T47" s="2">
        <v>1.0999999999999999E-2</v>
      </c>
      <c r="U47">
        <v>-3.4</v>
      </c>
      <c r="V47">
        <v>14</v>
      </c>
      <c r="W47">
        <v>9.07</v>
      </c>
      <c r="X47">
        <v>11.06</v>
      </c>
      <c r="Z47">
        <v>41</v>
      </c>
      <c r="AA47" t="s">
        <v>189</v>
      </c>
      <c r="AB47" t="s">
        <v>24</v>
      </c>
      <c r="AC47">
        <v>14</v>
      </c>
      <c r="AD47">
        <v>11.1</v>
      </c>
      <c r="AE47" s="1">
        <v>0.24</v>
      </c>
      <c r="AF47" s="2">
        <v>1.4999999999999999E-2</v>
      </c>
      <c r="AG47">
        <v>-1.6</v>
      </c>
      <c r="AH47">
        <v>7</v>
      </c>
      <c r="AI47">
        <v>8.0399999999999991</v>
      </c>
      <c r="AJ47">
        <v>7.08</v>
      </c>
    </row>
    <row r="48" spans="2:36" x14ac:dyDescent="0.2">
      <c r="B48">
        <v>7</v>
      </c>
      <c r="C48" t="s">
        <v>190</v>
      </c>
      <c r="D48" t="s">
        <v>106</v>
      </c>
      <c r="E48">
        <v>6</v>
      </c>
      <c r="F48">
        <v>10.4</v>
      </c>
      <c r="G48" s="1">
        <v>0.7</v>
      </c>
      <c r="H48" s="2">
        <v>3.6999999999999998E-2</v>
      </c>
      <c r="I48">
        <v>1.6</v>
      </c>
      <c r="J48">
        <v>4</v>
      </c>
      <c r="K48">
        <v>6.04</v>
      </c>
      <c r="L48">
        <v>6.08</v>
      </c>
      <c r="N48">
        <v>42</v>
      </c>
      <c r="O48" t="s">
        <v>191</v>
      </c>
      <c r="P48" t="s">
        <v>153</v>
      </c>
      <c r="Q48">
        <v>9</v>
      </c>
      <c r="R48">
        <v>7.1</v>
      </c>
      <c r="S48" s="1">
        <v>0.16</v>
      </c>
      <c r="T48" s="2">
        <v>1.0999999999999999E-2</v>
      </c>
      <c r="U48">
        <v>-3.5</v>
      </c>
      <c r="V48">
        <v>14</v>
      </c>
      <c r="W48">
        <v>10.11</v>
      </c>
      <c r="X48">
        <v>13.07</v>
      </c>
      <c r="Z48">
        <v>42</v>
      </c>
      <c r="AA48" t="s">
        <v>192</v>
      </c>
      <c r="AB48" t="s">
        <v>47</v>
      </c>
      <c r="AC48">
        <v>9</v>
      </c>
      <c r="AD48">
        <v>10.9</v>
      </c>
      <c r="AE48" s="1">
        <v>0.22</v>
      </c>
      <c r="AF48" s="2">
        <v>1.4E-2</v>
      </c>
      <c r="AG48">
        <v>-1.9</v>
      </c>
      <c r="AH48">
        <v>7</v>
      </c>
      <c r="AI48">
        <v>8.0500000000000007</v>
      </c>
      <c r="AJ48">
        <v>7.04</v>
      </c>
    </row>
    <row r="49" spans="2:36" x14ac:dyDescent="0.2">
      <c r="B49">
        <v>8</v>
      </c>
      <c r="C49" t="s">
        <v>193</v>
      </c>
      <c r="D49" t="s">
        <v>102</v>
      </c>
      <c r="E49">
        <v>7</v>
      </c>
      <c r="F49">
        <v>10.3</v>
      </c>
      <c r="G49" s="1">
        <v>0.66</v>
      </c>
      <c r="H49" s="2">
        <v>3.6999999999999998E-2</v>
      </c>
      <c r="I49">
        <v>1.5</v>
      </c>
      <c r="J49">
        <v>4</v>
      </c>
      <c r="K49">
        <v>7.02</v>
      </c>
      <c r="L49">
        <v>8.07</v>
      </c>
      <c r="N49">
        <v>43</v>
      </c>
      <c r="O49" t="s">
        <v>194</v>
      </c>
      <c r="P49" t="s">
        <v>153</v>
      </c>
      <c r="Q49">
        <v>9</v>
      </c>
      <c r="R49">
        <v>6.8</v>
      </c>
      <c r="S49" s="1">
        <v>0.15</v>
      </c>
      <c r="T49" s="2">
        <v>1.0999999999999999E-2</v>
      </c>
      <c r="U49">
        <v>-3.7</v>
      </c>
      <c r="V49">
        <v>14</v>
      </c>
      <c r="W49">
        <v>15.07</v>
      </c>
      <c r="X49">
        <v>13.09</v>
      </c>
      <c r="Z49">
        <v>43</v>
      </c>
      <c r="AA49" t="s">
        <v>195</v>
      </c>
      <c r="AB49" t="s">
        <v>24</v>
      </c>
      <c r="AC49">
        <v>14</v>
      </c>
      <c r="AD49">
        <v>10.8</v>
      </c>
      <c r="AE49" s="1">
        <v>0.21</v>
      </c>
      <c r="AF49" s="2">
        <v>1.4E-2</v>
      </c>
      <c r="AG49">
        <v>-2</v>
      </c>
      <c r="AH49">
        <v>7</v>
      </c>
      <c r="AI49">
        <v>10</v>
      </c>
      <c r="AJ49">
        <v>9.0399999999999991</v>
      </c>
    </row>
    <row r="50" spans="2:36" x14ac:dyDescent="0.2">
      <c r="B50">
        <v>9</v>
      </c>
      <c r="C50" t="s">
        <v>196</v>
      </c>
      <c r="D50" t="s">
        <v>118</v>
      </c>
      <c r="E50">
        <v>11</v>
      </c>
      <c r="F50">
        <v>9.4</v>
      </c>
      <c r="G50" s="1">
        <v>0.63</v>
      </c>
      <c r="H50" s="2">
        <v>3.3000000000000002E-2</v>
      </c>
      <c r="I50">
        <v>0.6</v>
      </c>
      <c r="J50">
        <v>5</v>
      </c>
      <c r="K50">
        <v>8.06</v>
      </c>
      <c r="L50">
        <v>9.0500000000000007</v>
      </c>
      <c r="N50">
        <v>44</v>
      </c>
      <c r="O50" t="s">
        <v>197</v>
      </c>
      <c r="P50" t="s">
        <v>104</v>
      </c>
      <c r="Q50">
        <v>10</v>
      </c>
      <c r="R50">
        <v>6.7</v>
      </c>
      <c r="S50" s="1">
        <v>0.14000000000000001</v>
      </c>
      <c r="T50" s="2">
        <v>1.0999999999999999E-2</v>
      </c>
      <c r="U50">
        <v>-3.8</v>
      </c>
      <c r="V50">
        <v>14</v>
      </c>
      <c r="W50">
        <v>12.1</v>
      </c>
      <c r="X50">
        <v>13.03</v>
      </c>
      <c r="Z50">
        <v>44</v>
      </c>
      <c r="AA50" t="s">
        <v>198</v>
      </c>
      <c r="AB50" t="s">
        <v>99</v>
      </c>
      <c r="AC50">
        <v>7</v>
      </c>
      <c r="AD50">
        <v>10.7</v>
      </c>
      <c r="AE50" s="1">
        <v>0.19</v>
      </c>
      <c r="AF50" s="2">
        <v>1.4E-2</v>
      </c>
      <c r="AG50">
        <v>-2.1</v>
      </c>
      <c r="AH50">
        <v>7</v>
      </c>
      <c r="AI50">
        <v>9.1</v>
      </c>
      <c r="AJ50">
        <v>8.11</v>
      </c>
    </row>
    <row r="51" spans="2:36" x14ac:dyDescent="0.2">
      <c r="B51">
        <v>10</v>
      </c>
      <c r="C51" t="s">
        <v>199</v>
      </c>
      <c r="D51" t="s">
        <v>117</v>
      </c>
      <c r="E51">
        <v>12</v>
      </c>
      <c r="F51">
        <v>9.3000000000000007</v>
      </c>
      <c r="G51" s="1">
        <v>0.59</v>
      </c>
      <c r="H51" s="2">
        <v>3.3000000000000002E-2</v>
      </c>
      <c r="I51">
        <v>0.5</v>
      </c>
      <c r="J51">
        <v>5</v>
      </c>
      <c r="K51">
        <v>8</v>
      </c>
      <c r="L51">
        <v>8.0500000000000007</v>
      </c>
      <c r="N51">
        <v>45</v>
      </c>
      <c r="O51" t="s">
        <v>200</v>
      </c>
      <c r="P51" t="s">
        <v>113</v>
      </c>
      <c r="Q51">
        <v>8</v>
      </c>
      <c r="R51">
        <v>6.7</v>
      </c>
      <c r="S51" s="1">
        <v>0.13</v>
      </c>
      <c r="T51" s="2">
        <v>1.0999999999999999E-2</v>
      </c>
      <c r="U51">
        <v>-3.9</v>
      </c>
      <c r="V51">
        <v>14</v>
      </c>
      <c r="W51">
        <v>14.01</v>
      </c>
      <c r="X51">
        <v>12.1</v>
      </c>
      <c r="Z51">
        <v>45</v>
      </c>
      <c r="AA51" t="s">
        <v>201</v>
      </c>
      <c r="AB51" t="s">
        <v>47</v>
      </c>
      <c r="AC51">
        <v>9</v>
      </c>
      <c r="AD51">
        <v>10.5</v>
      </c>
      <c r="AE51" s="1">
        <v>0.18</v>
      </c>
      <c r="AF51" s="2">
        <v>1.4E-2</v>
      </c>
      <c r="AG51">
        <v>-2.2999999999999998</v>
      </c>
      <c r="AH51">
        <v>8</v>
      </c>
      <c r="AI51">
        <v>9.08</v>
      </c>
      <c r="AJ51">
        <v>9.1199999999999992</v>
      </c>
    </row>
    <row r="52" spans="2:36" x14ac:dyDescent="0.2">
      <c r="B52">
        <v>11</v>
      </c>
      <c r="C52" t="s">
        <v>202</v>
      </c>
      <c r="D52" t="s">
        <v>104</v>
      </c>
      <c r="E52">
        <v>10</v>
      </c>
      <c r="F52">
        <v>9</v>
      </c>
      <c r="G52" s="1">
        <v>0.56000000000000005</v>
      </c>
      <c r="H52" s="2">
        <v>3.2000000000000001E-2</v>
      </c>
      <c r="I52">
        <v>0.2</v>
      </c>
      <c r="J52">
        <v>5</v>
      </c>
      <c r="K52">
        <v>12.06</v>
      </c>
      <c r="L52">
        <v>10.06</v>
      </c>
      <c r="N52">
        <v>46</v>
      </c>
      <c r="O52" t="s">
        <v>203</v>
      </c>
      <c r="P52" t="s">
        <v>111</v>
      </c>
      <c r="Q52">
        <v>6</v>
      </c>
      <c r="R52">
        <v>6.6</v>
      </c>
      <c r="S52" s="1">
        <v>0.12</v>
      </c>
      <c r="T52" s="2">
        <v>1.0999999999999999E-2</v>
      </c>
      <c r="U52">
        <v>-3.9</v>
      </c>
      <c r="V52">
        <v>14</v>
      </c>
      <c r="W52">
        <v>11.12</v>
      </c>
      <c r="X52">
        <v>13.08</v>
      </c>
      <c r="Z52">
        <v>46</v>
      </c>
      <c r="AA52" t="s">
        <v>204</v>
      </c>
      <c r="AB52" t="s">
        <v>100</v>
      </c>
      <c r="AC52">
        <v>5</v>
      </c>
      <c r="AD52">
        <v>10.3</v>
      </c>
      <c r="AE52" s="1">
        <v>0.16</v>
      </c>
      <c r="AF52" s="2">
        <v>1.4E-2</v>
      </c>
      <c r="AG52">
        <v>-2.4</v>
      </c>
      <c r="AH52">
        <v>8</v>
      </c>
      <c r="AI52">
        <v>12.08</v>
      </c>
      <c r="AJ52">
        <v>11.03</v>
      </c>
    </row>
    <row r="53" spans="2:36" x14ac:dyDescent="0.2">
      <c r="B53">
        <v>12</v>
      </c>
      <c r="C53" t="s">
        <v>205</v>
      </c>
      <c r="D53" t="s">
        <v>40</v>
      </c>
      <c r="E53">
        <v>5</v>
      </c>
      <c r="F53">
        <v>8.8000000000000007</v>
      </c>
      <c r="G53" s="1">
        <v>0.53</v>
      </c>
      <c r="H53" s="2">
        <v>3.1E-2</v>
      </c>
      <c r="I53">
        <v>0</v>
      </c>
      <c r="J53">
        <v>5</v>
      </c>
      <c r="K53">
        <v>10.029999999999999</v>
      </c>
      <c r="L53">
        <v>9.08</v>
      </c>
      <c r="N53">
        <v>47</v>
      </c>
      <c r="O53" t="s">
        <v>206</v>
      </c>
      <c r="P53" t="s">
        <v>114</v>
      </c>
      <c r="Q53">
        <v>8</v>
      </c>
      <c r="R53">
        <v>6.6</v>
      </c>
      <c r="S53" s="1">
        <v>0.11</v>
      </c>
      <c r="T53" s="2">
        <v>1.0999999999999999E-2</v>
      </c>
      <c r="U53">
        <v>-4</v>
      </c>
      <c r="V53">
        <v>14</v>
      </c>
      <c r="W53">
        <v>12.03</v>
      </c>
      <c r="X53">
        <v>11.02</v>
      </c>
      <c r="Z53">
        <v>47</v>
      </c>
      <c r="AA53" t="s">
        <v>207</v>
      </c>
      <c r="AB53" t="s">
        <v>118</v>
      </c>
      <c r="AC53">
        <v>11</v>
      </c>
      <c r="AD53">
        <v>10.199999999999999</v>
      </c>
      <c r="AE53" s="1">
        <v>0.15</v>
      </c>
      <c r="AF53" s="2">
        <v>1.4E-2</v>
      </c>
      <c r="AG53">
        <v>-2.5</v>
      </c>
      <c r="AH53">
        <v>8</v>
      </c>
      <c r="AI53">
        <v>11.07</v>
      </c>
      <c r="AJ53">
        <v>9.02</v>
      </c>
    </row>
    <row r="54" spans="2:36" x14ac:dyDescent="0.2">
      <c r="B54">
        <v>13</v>
      </c>
      <c r="C54" t="s">
        <v>208</v>
      </c>
      <c r="D54" t="s">
        <v>103</v>
      </c>
      <c r="E54">
        <v>9</v>
      </c>
      <c r="F54">
        <v>8.5</v>
      </c>
      <c r="G54" s="1">
        <v>0.5</v>
      </c>
      <c r="H54" s="2">
        <v>0.03</v>
      </c>
      <c r="I54">
        <v>-0.3</v>
      </c>
      <c r="J54">
        <v>5</v>
      </c>
      <c r="K54">
        <v>13.01</v>
      </c>
      <c r="L54">
        <v>12.01</v>
      </c>
      <c r="N54">
        <v>48</v>
      </c>
      <c r="O54" t="s">
        <v>209</v>
      </c>
      <c r="P54" t="s">
        <v>59</v>
      </c>
      <c r="Q54">
        <v>12</v>
      </c>
      <c r="R54">
        <v>6.2</v>
      </c>
      <c r="S54" s="1">
        <v>0.1</v>
      </c>
      <c r="T54" s="2">
        <v>0.01</v>
      </c>
      <c r="U54">
        <v>-4.3</v>
      </c>
      <c r="V54">
        <v>14</v>
      </c>
      <c r="W54">
        <v>12.02</v>
      </c>
      <c r="X54">
        <v>12.04</v>
      </c>
      <c r="Z54">
        <v>48</v>
      </c>
      <c r="AA54" t="s">
        <v>210</v>
      </c>
      <c r="AB54" t="s">
        <v>68</v>
      </c>
      <c r="AC54">
        <v>11</v>
      </c>
      <c r="AD54">
        <v>10.199999999999999</v>
      </c>
      <c r="AE54" s="1">
        <v>0.14000000000000001</v>
      </c>
      <c r="AF54" s="2">
        <v>1.4E-2</v>
      </c>
      <c r="AG54">
        <v>-2.5</v>
      </c>
      <c r="AH54">
        <v>8</v>
      </c>
      <c r="AI54">
        <v>13.03</v>
      </c>
      <c r="AJ54">
        <v>12.01</v>
      </c>
    </row>
    <row r="55" spans="2:36" x14ac:dyDescent="0.2">
      <c r="B55">
        <v>14</v>
      </c>
      <c r="C55" t="s">
        <v>211</v>
      </c>
      <c r="D55" t="s">
        <v>107</v>
      </c>
      <c r="E55">
        <v>12</v>
      </c>
      <c r="F55">
        <v>8.4</v>
      </c>
      <c r="G55" s="1">
        <v>0.47</v>
      </c>
      <c r="H55" s="2">
        <v>0.03</v>
      </c>
      <c r="I55">
        <v>-0.4</v>
      </c>
      <c r="J55">
        <v>6</v>
      </c>
      <c r="K55">
        <v>13.09</v>
      </c>
      <c r="L55">
        <v>14.08</v>
      </c>
      <c r="N55">
        <v>49</v>
      </c>
      <c r="O55" t="s">
        <v>212</v>
      </c>
      <c r="P55" t="s">
        <v>134</v>
      </c>
      <c r="Q55">
        <v>10</v>
      </c>
      <c r="R55">
        <v>6.1</v>
      </c>
      <c r="S55" s="1">
        <v>0.09</v>
      </c>
      <c r="T55" s="2">
        <v>0.01</v>
      </c>
      <c r="U55">
        <v>-4.4000000000000004</v>
      </c>
      <c r="V55">
        <v>14</v>
      </c>
      <c r="W55">
        <v>15.08</v>
      </c>
      <c r="X55">
        <v>13.06</v>
      </c>
      <c r="Z55">
        <v>49</v>
      </c>
      <c r="AA55" t="s">
        <v>213</v>
      </c>
      <c r="AB55" t="s">
        <v>99</v>
      </c>
      <c r="AC55">
        <v>7</v>
      </c>
      <c r="AD55">
        <v>10.1</v>
      </c>
      <c r="AE55" s="1">
        <v>0.12</v>
      </c>
      <c r="AF55" s="2">
        <v>1.2999999999999999E-2</v>
      </c>
      <c r="AG55">
        <v>-2.6</v>
      </c>
      <c r="AH55">
        <v>8</v>
      </c>
      <c r="AI55">
        <v>10.11</v>
      </c>
      <c r="AJ55">
        <v>11.06</v>
      </c>
    </row>
    <row r="56" spans="2:36" x14ac:dyDescent="0.2">
      <c r="B56">
        <v>15</v>
      </c>
      <c r="C56" t="s">
        <v>214</v>
      </c>
      <c r="D56" t="s">
        <v>100</v>
      </c>
      <c r="E56">
        <v>5</v>
      </c>
      <c r="F56">
        <v>8.4</v>
      </c>
      <c r="G56" s="1">
        <v>0.44</v>
      </c>
      <c r="H56" s="2">
        <v>0.03</v>
      </c>
      <c r="I56">
        <v>-0.4</v>
      </c>
      <c r="J56">
        <v>6</v>
      </c>
      <c r="K56">
        <v>12.03</v>
      </c>
      <c r="L56">
        <v>13.07</v>
      </c>
      <c r="N56">
        <v>50</v>
      </c>
      <c r="O56" t="s">
        <v>215</v>
      </c>
      <c r="P56" t="s">
        <v>114</v>
      </c>
      <c r="Q56">
        <v>8</v>
      </c>
      <c r="R56">
        <v>6</v>
      </c>
      <c r="S56" s="1">
        <v>0.08</v>
      </c>
      <c r="T56" s="2">
        <v>0.01</v>
      </c>
      <c r="U56">
        <v>-4.5999999999999996</v>
      </c>
      <c r="V56">
        <v>15</v>
      </c>
      <c r="W56">
        <v>13.06</v>
      </c>
      <c r="X56">
        <v>13.08</v>
      </c>
      <c r="Z56">
        <v>50</v>
      </c>
      <c r="AA56" t="s">
        <v>216</v>
      </c>
      <c r="AB56" t="s">
        <v>106</v>
      </c>
      <c r="AC56">
        <v>6</v>
      </c>
      <c r="AD56">
        <v>10.1</v>
      </c>
      <c r="AE56" s="1">
        <v>0.11</v>
      </c>
      <c r="AF56" s="2">
        <v>1.2999999999999999E-2</v>
      </c>
      <c r="AG56">
        <v>-2.6</v>
      </c>
      <c r="AH56">
        <v>8</v>
      </c>
      <c r="AI56">
        <v>8.11</v>
      </c>
      <c r="AJ56">
        <v>9</v>
      </c>
    </row>
    <row r="57" spans="2:36" x14ac:dyDescent="0.2">
      <c r="B57">
        <v>16</v>
      </c>
      <c r="C57" t="s">
        <v>217</v>
      </c>
      <c r="D57" t="s">
        <v>99</v>
      </c>
      <c r="E57">
        <v>7</v>
      </c>
      <c r="F57">
        <v>8.3000000000000007</v>
      </c>
      <c r="G57" s="1">
        <v>0.41</v>
      </c>
      <c r="H57" s="2">
        <v>0.03</v>
      </c>
      <c r="I57">
        <v>-0.5</v>
      </c>
      <c r="J57">
        <v>6</v>
      </c>
      <c r="K57">
        <v>11.09</v>
      </c>
      <c r="L57">
        <v>11.06</v>
      </c>
      <c r="N57">
        <v>51</v>
      </c>
      <c r="O57" t="s">
        <v>218</v>
      </c>
      <c r="P57" t="s">
        <v>100</v>
      </c>
      <c r="Q57">
        <v>5</v>
      </c>
      <c r="R57">
        <v>6</v>
      </c>
      <c r="S57" s="1">
        <v>7.0000000000000007E-2</v>
      </c>
      <c r="T57" s="2">
        <v>0.01</v>
      </c>
      <c r="U57">
        <v>-4.5999999999999996</v>
      </c>
      <c r="V57">
        <v>16</v>
      </c>
      <c r="W57">
        <v>15.01</v>
      </c>
      <c r="X57">
        <v>14</v>
      </c>
      <c r="Z57">
        <v>51</v>
      </c>
      <c r="AA57" t="s">
        <v>219</v>
      </c>
      <c r="AB57" t="s">
        <v>76</v>
      </c>
      <c r="AC57">
        <v>10</v>
      </c>
      <c r="AD57">
        <v>9.9</v>
      </c>
      <c r="AE57" s="1">
        <v>0.1</v>
      </c>
      <c r="AF57" s="2">
        <v>1.2999999999999999E-2</v>
      </c>
      <c r="AG57">
        <v>-2.8</v>
      </c>
      <c r="AH57">
        <v>8</v>
      </c>
      <c r="AI57">
        <v>6.1</v>
      </c>
      <c r="AJ57">
        <v>7.05</v>
      </c>
    </row>
    <row r="58" spans="2:36" x14ac:dyDescent="0.2">
      <c r="B58">
        <v>17</v>
      </c>
      <c r="C58" t="s">
        <v>220</v>
      </c>
      <c r="D58" t="s">
        <v>70</v>
      </c>
      <c r="E58">
        <v>14</v>
      </c>
      <c r="F58">
        <v>7.9</v>
      </c>
      <c r="G58" s="1">
        <v>0.38</v>
      </c>
      <c r="H58" s="2">
        <v>2.8000000000000001E-2</v>
      </c>
      <c r="I58">
        <v>-0.9</v>
      </c>
      <c r="J58">
        <v>6</v>
      </c>
      <c r="K58">
        <v>14.1</v>
      </c>
      <c r="L58">
        <v>13.04</v>
      </c>
      <c r="N58">
        <v>52</v>
      </c>
      <c r="O58" t="s">
        <v>221</v>
      </c>
      <c r="P58" t="s">
        <v>80</v>
      </c>
      <c r="Q58">
        <v>14</v>
      </c>
      <c r="R58">
        <v>5.9</v>
      </c>
      <c r="S58" s="1">
        <v>0.06</v>
      </c>
      <c r="T58" s="2">
        <v>8.9999999999999993E-3</v>
      </c>
      <c r="U58">
        <v>-4.7</v>
      </c>
      <c r="V58">
        <v>16</v>
      </c>
      <c r="W58">
        <v>16.09</v>
      </c>
      <c r="X58">
        <v>14.11</v>
      </c>
      <c r="Z58">
        <v>52</v>
      </c>
      <c r="AA58" t="s">
        <v>222</v>
      </c>
      <c r="AB58" t="s">
        <v>40</v>
      </c>
      <c r="AC58">
        <v>5</v>
      </c>
      <c r="AD58">
        <v>9.8000000000000007</v>
      </c>
      <c r="AE58" s="1">
        <v>0.08</v>
      </c>
      <c r="AF58" s="2">
        <v>1.2999999999999999E-2</v>
      </c>
      <c r="AG58">
        <v>-2.9</v>
      </c>
      <c r="AH58">
        <v>8</v>
      </c>
      <c r="AI58">
        <v>11.06</v>
      </c>
      <c r="AJ58">
        <v>10.07</v>
      </c>
    </row>
    <row r="59" spans="2:36" x14ac:dyDescent="0.2">
      <c r="B59">
        <v>18</v>
      </c>
      <c r="C59" t="s">
        <v>223</v>
      </c>
      <c r="D59" t="s">
        <v>122</v>
      </c>
      <c r="E59">
        <v>5</v>
      </c>
      <c r="F59">
        <v>7.9</v>
      </c>
      <c r="G59" s="1">
        <v>0.35</v>
      </c>
      <c r="H59" s="2">
        <v>2.8000000000000001E-2</v>
      </c>
      <c r="I59">
        <v>-0.9</v>
      </c>
      <c r="J59">
        <v>6</v>
      </c>
      <c r="K59">
        <v>10.08</v>
      </c>
      <c r="L59">
        <v>11.11</v>
      </c>
      <c r="N59">
        <v>53</v>
      </c>
      <c r="O59" t="s">
        <v>224</v>
      </c>
      <c r="P59" t="s">
        <v>99</v>
      </c>
      <c r="Q59">
        <v>7</v>
      </c>
      <c r="R59">
        <v>5.8</v>
      </c>
      <c r="S59" s="1">
        <v>0.05</v>
      </c>
      <c r="T59" s="2">
        <v>8.9999999999999993E-3</v>
      </c>
      <c r="U59">
        <v>-4.7</v>
      </c>
      <c r="V59">
        <v>16</v>
      </c>
      <c r="W59">
        <v>15.06</v>
      </c>
      <c r="X59">
        <v>13.02</v>
      </c>
      <c r="Z59">
        <v>53</v>
      </c>
      <c r="AA59" t="s">
        <v>225</v>
      </c>
      <c r="AB59" t="s">
        <v>117</v>
      </c>
      <c r="AC59">
        <v>12</v>
      </c>
      <c r="AD59">
        <v>9.5</v>
      </c>
      <c r="AE59" s="1">
        <v>7.0000000000000007E-2</v>
      </c>
      <c r="AF59" s="2">
        <v>1.2999999999999999E-2</v>
      </c>
      <c r="AG59">
        <v>-3.3</v>
      </c>
      <c r="AH59">
        <v>8</v>
      </c>
      <c r="AI59">
        <v>13.08</v>
      </c>
      <c r="AJ59">
        <v>13.01</v>
      </c>
    </row>
    <row r="60" spans="2:36" x14ac:dyDescent="0.2">
      <c r="B60">
        <v>19</v>
      </c>
      <c r="C60" t="s">
        <v>226</v>
      </c>
      <c r="D60" t="s">
        <v>134</v>
      </c>
      <c r="E60">
        <v>10</v>
      </c>
      <c r="F60">
        <v>7.8</v>
      </c>
      <c r="G60" s="1">
        <v>0.33</v>
      </c>
      <c r="H60" s="2">
        <v>2.8000000000000001E-2</v>
      </c>
      <c r="I60">
        <v>-1</v>
      </c>
      <c r="J60">
        <v>6</v>
      </c>
      <c r="K60">
        <v>17.03</v>
      </c>
      <c r="L60">
        <v>16.079999999999998</v>
      </c>
      <c r="N60">
        <v>54</v>
      </c>
      <c r="O60" t="s">
        <v>227</v>
      </c>
      <c r="P60" t="s">
        <v>73</v>
      </c>
      <c r="Q60">
        <v>9</v>
      </c>
      <c r="R60">
        <v>5.7</v>
      </c>
      <c r="S60" s="1">
        <v>0.04</v>
      </c>
      <c r="T60" s="2">
        <v>8.9999999999999993E-3</v>
      </c>
      <c r="U60">
        <v>-4.9000000000000004</v>
      </c>
      <c r="V60">
        <v>16</v>
      </c>
      <c r="W60">
        <v>12.08</v>
      </c>
      <c r="X60">
        <v>11.11</v>
      </c>
      <c r="Z60">
        <v>54</v>
      </c>
      <c r="AA60" t="s">
        <v>228</v>
      </c>
      <c r="AB60" t="s">
        <v>80</v>
      </c>
      <c r="AC60">
        <v>14</v>
      </c>
      <c r="AD60">
        <v>9.3000000000000007</v>
      </c>
      <c r="AE60" s="1">
        <v>0.06</v>
      </c>
      <c r="AF60" s="2">
        <v>1.2E-2</v>
      </c>
      <c r="AG60">
        <v>-3.5</v>
      </c>
      <c r="AH60">
        <v>8</v>
      </c>
      <c r="AI60">
        <v>15.11</v>
      </c>
      <c r="AJ60">
        <v>15.05</v>
      </c>
    </row>
    <row r="61" spans="2:36" x14ac:dyDescent="0.2">
      <c r="B61">
        <v>20</v>
      </c>
      <c r="C61" t="s">
        <v>229</v>
      </c>
      <c r="D61" t="s">
        <v>114</v>
      </c>
      <c r="E61">
        <v>8</v>
      </c>
      <c r="F61">
        <v>7.7</v>
      </c>
      <c r="G61" s="1">
        <v>0.3</v>
      </c>
      <c r="H61" s="2">
        <v>2.7E-2</v>
      </c>
      <c r="I61">
        <v>-1.1000000000000001</v>
      </c>
      <c r="J61">
        <v>6</v>
      </c>
      <c r="K61">
        <v>17.079999999999998</v>
      </c>
      <c r="L61">
        <v>15.06</v>
      </c>
      <c r="N61">
        <v>55</v>
      </c>
      <c r="O61" t="s">
        <v>230</v>
      </c>
      <c r="P61" t="s">
        <v>76</v>
      </c>
      <c r="Q61">
        <v>10</v>
      </c>
      <c r="R61">
        <v>5.5</v>
      </c>
      <c r="S61" s="1">
        <v>0.03</v>
      </c>
      <c r="T61" s="2">
        <v>8.9999999999999993E-3</v>
      </c>
      <c r="U61">
        <v>-5.0999999999999996</v>
      </c>
      <c r="V61">
        <v>16</v>
      </c>
      <c r="W61">
        <v>18.05</v>
      </c>
      <c r="X61">
        <v>19.09</v>
      </c>
      <c r="Z61">
        <v>55</v>
      </c>
      <c r="AA61" t="s">
        <v>231</v>
      </c>
      <c r="AB61" t="s">
        <v>153</v>
      </c>
      <c r="AC61">
        <v>9</v>
      </c>
      <c r="AD61">
        <v>9.1999999999999993</v>
      </c>
      <c r="AE61" s="1">
        <v>0.05</v>
      </c>
      <c r="AF61" s="2">
        <v>1.2E-2</v>
      </c>
      <c r="AG61">
        <v>-3.5</v>
      </c>
      <c r="AH61">
        <v>8</v>
      </c>
      <c r="AI61">
        <v>17.100000000000001</v>
      </c>
      <c r="AJ61">
        <v>13.03</v>
      </c>
    </row>
    <row r="62" spans="2:36" x14ac:dyDescent="0.2">
      <c r="B62">
        <v>21</v>
      </c>
      <c r="C62" t="s">
        <v>232</v>
      </c>
      <c r="D62" t="s">
        <v>47</v>
      </c>
      <c r="E62">
        <v>9</v>
      </c>
      <c r="F62">
        <v>7.5</v>
      </c>
      <c r="G62" s="1">
        <v>0.27</v>
      </c>
      <c r="H62" s="2">
        <v>2.7E-2</v>
      </c>
      <c r="I62">
        <v>-1.3</v>
      </c>
      <c r="J62">
        <v>6</v>
      </c>
      <c r="K62">
        <v>18.02</v>
      </c>
      <c r="L62">
        <v>18.059999999999999</v>
      </c>
      <c r="N62">
        <v>56</v>
      </c>
      <c r="O62" t="s">
        <v>233</v>
      </c>
      <c r="P62" t="s">
        <v>108</v>
      </c>
      <c r="Q62">
        <v>12</v>
      </c>
      <c r="R62">
        <v>5.0999999999999996</v>
      </c>
      <c r="S62" s="1">
        <v>0.02</v>
      </c>
      <c r="T62" s="2">
        <v>8.0000000000000002E-3</v>
      </c>
      <c r="U62">
        <v>-5.5</v>
      </c>
      <c r="V62">
        <v>16</v>
      </c>
      <c r="W62">
        <v>14.09</v>
      </c>
      <c r="X62">
        <v>16.05</v>
      </c>
      <c r="Z62">
        <v>56</v>
      </c>
      <c r="AA62" t="s">
        <v>234</v>
      </c>
      <c r="AB62" t="s">
        <v>102</v>
      </c>
      <c r="AC62">
        <v>7</v>
      </c>
      <c r="AD62">
        <v>9.1</v>
      </c>
      <c r="AE62" s="1">
        <v>0.04</v>
      </c>
      <c r="AF62" s="2">
        <v>1.2E-2</v>
      </c>
      <c r="AG62">
        <v>-3.7</v>
      </c>
      <c r="AH62">
        <v>9</v>
      </c>
      <c r="AI62">
        <v>15.04</v>
      </c>
      <c r="AJ62">
        <v>13.05</v>
      </c>
    </row>
    <row r="63" spans="2:36" x14ac:dyDescent="0.2">
      <c r="B63">
        <v>22</v>
      </c>
      <c r="C63" t="s">
        <v>235</v>
      </c>
      <c r="D63" t="s">
        <v>131</v>
      </c>
      <c r="E63">
        <v>5</v>
      </c>
      <c r="F63">
        <v>7.5</v>
      </c>
      <c r="G63" s="1">
        <v>0.24</v>
      </c>
      <c r="H63" s="2">
        <v>2.7E-2</v>
      </c>
      <c r="I63">
        <v>-1.3</v>
      </c>
      <c r="J63">
        <v>6</v>
      </c>
      <c r="K63">
        <v>13.07</v>
      </c>
      <c r="L63">
        <v>14.08</v>
      </c>
      <c r="N63">
        <v>57</v>
      </c>
      <c r="O63" t="s">
        <v>236</v>
      </c>
      <c r="P63" t="s">
        <v>68</v>
      </c>
      <c r="Q63">
        <v>11</v>
      </c>
      <c r="R63">
        <v>5.0999999999999996</v>
      </c>
      <c r="S63" s="1">
        <v>0.02</v>
      </c>
      <c r="T63" s="2">
        <v>8.0000000000000002E-3</v>
      </c>
      <c r="U63">
        <v>-5.5</v>
      </c>
      <c r="V63">
        <v>17</v>
      </c>
      <c r="W63">
        <v>21.1</v>
      </c>
      <c r="X63">
        <v>19.11</v>
      </c>
      <c r="Z63">
        <v>57</v>
      </c>
      <c r="AA63" t="s">
        <v>237</v>
      </c>
      <c r="AB63" t="s">
        <v>27</v>
      </c>
      <c r="AC63">
        <v>14</v>
      </c>
      <c r="AD63">
        <v>9</v>
      </c>
      <c r="AE63" s="1">
        <v>0.02</v>
      </c>
      <c r="AF63" s="2">
        <v>1.2E-2</v>
      </c>
      <c r="AG63">
        <v>-3.8</v>
      </c>
      <c r="AH63">
        <v>9</v>
      </c>
      <c r="AI63">
        <v>16.100000000000001</v>
      </c>
      <c r="AJ63">
        <v>14.01</v>
      </c>
    </row>
    <row r="64" spans="2:36" x14ac:dyDescent="0.2">
      <c r="B64">
        <v>23</v>
      </c>
      <c r="C64" t="s">
        <v>238</v>
      </c>
      <c r="D64" t="s">
        <v>108</v>
      </c>
      <c r="E64">
        <v>12</v>
      </c>
      <c r="F64">
        <v>7.2</v>
      </c>
      <c r="G64" s="1">
        <v>0.22</v>
      </c>
      <c r="H64" s="2">
        <v>2.5000000000000001E-2</v>
      </c>
      <c r="I64">
        <v>-1.6</v>
      </c>
      <c r="J64">
        <v>7</v>
      </c>
      <c r="K64">
        <v>17.05</v>
      </c>
      <c r="L64">
        <v>22.05</v>
      </c>
      <c r="N64">
        <v>58</v>
      </c>
      <c r="O64" t="s">
        <v>239</v>
      </c>
      <c r="P64" t="s">
        <v>102</v>
      </c>
      <c r="Q64">
        <v>7</v>
      </c>
      <c r="R64">
        <v>5</v>
      </c>
      <c r="S64" s="1">
        <v>0.01</v>
      </c>
      <c r="T64" s="2">
        <v>8.0000000000000002E-3</v>
      </c>
      <c r="U64">
        <v>-5.6</v>
      </c>
      <c r="V64">
        <v>18</v>
      </c>
      <c r="W64">
        <v>19.04</v>
      </c>
      <c r="X64">
        <v>19.010000000000002</v>
      </c>
      <c r="Z64">
        <v>58</v>
      </c>
      <c r="AA64" t="s">
        <v>240</v>
      </c>
      <c r="AB64" t="s">
        <v>76</v>
      </c>
      <c r="AC64">
        <v>10</v>
      </c>
      <c r="AD64">
        <v>8.9</v>
      </c>
      <c r="AE64" s="1">
        <v>0.01</v>
      </c>
      <c r="AF64" s="2">
        <v>1.2E-2</v>
      </c>
      <c r="AG64">
        <v>-3.9</v>
      </c>
      <c r="AH64">
        <v>9</v>
      </c>
      <c r="AI64">
        <v>15.04</v>
      </c>
      <c r="AJ64">
        <v>14.07</v>
      </c>
    </row>
    <row r="65" spans="2:36" x14ac:dyDescent="0.2">
      <c r="B65">
        <v>24</v>
      </c>
      <c r="C65" t="s">
        <v>241</v>
      </c>
      <c r="D65" t="s">
        <v>73</v>
      </c>
      <c r="E65">
        <v>9</v>
      </c>
      <c r="F65">
        <v>7.2</v>
      </c>
      <c r="G65" s="1">
        <v>0.19</v>
      </c>
      <c r="H65" s="2">
        <v>2.5000000000000001E-2</v>
      </c>
      <c r="I65">
        <v>-1.6</v>
      </c>
      <c r="J65">
        <v>7</v>
      </c>
      <c r="K65">
        <v>19.11</v>
      </c>
      <c r="L65">
        <v>18.09</v>
      </c>
      <c r="N65">
        <v>59</v>
      </c>
      <c r="O65" t="s">
        <v>242</v>
      </c>
      <c r="P65" t="s">
        <v>122</v>
      </c>
      <c r="Q65">
        <v>5</v>
      </c>
      <c r="R65">
        <v>4.9000000000000004</v>
      </c>
      <c r="S65" s="1">
        <v>0</v>
      </c>
      <c r="T65" s="2">
        <v>8.0000000000000002E-3</v>
      </c>
      <c r="U65">
        <v>-5.7</v>
      </c>
      <c r="V65">
        <v>18</v>
      </c>
      <c r="W65">
        <v>21.03</v>
      </c>
      <c r="X65">
        <v>17.09</v>
      </c>
      <c r="Z65">
        <v>59</v>
      </c>
      <c r="AA65" t="s">
        <v>243</v>
      </c>
      <c r="AB65" t="s">
        <v>59</v>
      </c>
      <c r="AC65">
        <v>12</v>
      </c>
      <c r="AD65">
        <v>8.6999999999999993</v>
      </c>
      <c r="AE65" s="1">
        <v>0</v>
      </c>
      <c r="AF65" s="2">
        <v>1.2E-2</v>
      </c>
      <c r="AG65">
        <v>-4</v>
      </c>
      <c r="AH65">
        <v>9</v>
      </c>
      <c r="AI65">
        <v>13.02</v>
      </c>
      <c r="AJ65">
        <v>13.06</v>
      </c>
    </row>
    <row r="66" spans="2:36" x14ac:dyDescent="0.2">
      <c r="B66">
        <v>25</v>
      </c>
      <c r="C66" t="s">
        <v>244</v>
      </c>
      <c r="D66" t="s">
        <v>101</v>
      </c>
      <c r="E66">
        <v>10</v>
      </c>
      <c r="F66">
        <v>7.2</v>
      </c>
      <c r="G66" s="1">
        <v>0.17</v>
      </c>
      <c r="H66" s="2">
        <v>2.5000000000000001E-2</v>
      </c>
      <c r="I66">
        <v>-1.7</v>
      </c>
      <c r="J66">
        <v>7</v>
      </c>
      <c r="K66">
        <v>19.079999999999998</v>
      </c>
      <c r="L66">
        <v>18.04</v>
      </c>
    </row>
    <row r="67" spans="2:36" x14ac:dyDescent="0.2">
      <c r="B67">
        <v>26</v>
      </c>
      <c r="C67" t="s">
        <v>245</v>
      </c>
      <c r="D67" t="s">
        <v>131</v>
      </c>
      <c r="E67">
        <v>5</v>
      </c>
      <c r="F67">
        <v>7.1</v>
      </c>
      <c r="G67" s="1">
        <v>0.14000000000000001</v>
      </c>
      <c r="H67" s="2">
        <v>2.5000000000000001E-2</v>
      </c>
      <c r="I67">
        <v>-1.7</v>
      </c>
      <c r="J67">
        <v>7</v>
      </c>
      <c r="K67">
        <v>17.05</v>
      </c>
      <c r="L67">
        <v>18.07</v>
      </c>
      <c r="N67" t="s">
        <v>246</v>
      </c>
      <c r="AE67" t="s">
        <v>247</v>
      </c>
    </row>
    <row r="68" spans="2:36" x14ac:dyDescent="0.2">
      <c r="B68">
        <v>27</v>
      </c>
      <c r="C68" t="s">
        <v>248</v>
      </c>
      <c r="D68" t="s">
        <v>111</v>
      </c>
      <c r="E68">
        <v>6</v>
      </c>
      <c r="F68">
        <v>7</v>
      </c>
      <c r="G68" s="1">
        <v>0.12</v>
      </c>
      <c r="H68" s="2">
        <v>2.5000000000000001E-2</v>
      </c>
      <c r="I68">
        <v>-1.8</v>
      </c>
      <c r="J68">
        <v>7</v>
      </c>
      <c r="K68">
        <v>21.03</v>
      </c>
      <c r="L68">
        <v>20.07</v>
      </c>
      <c r="N68" t="s">
        <v>249</v>
      </c>
    </row>
    <row r="69" spans="2:36" x14ac:dyDescent="0.2">
      <c r="B69">
        <v>28</v>
      </c>
      <c r="C69" t="s">
        <v>250</v>
      </c>
      <c r="D69" t="s">
        <v>127</v>
      </c>
      <c r="E69">
        <v>8</v>
      </c>
      <c r="F69">
        <v>6.8</v>
      </c>
      <c r="G69" s="1">
        <v>0.09</v>
      </c>
      <c r="H69" s="2">
        <v>2.4E-2</v>
      </c>
      <c r="I69">
        <v>-2</v>
      </c>
      <c r="J69">
        <v>7</v>
      </c>
      <c r="K69">
        <v>42.02</v>
      </c>
      <c r="L69" t="e">
        <v>#N/A</v>
      </c>
      <c r="N69" t="s">
        <v>251</v>
      </c>
      <c r="X69" t="s">
        <v>252</v>
      </c>
    </row>
    <row r="70" spans="2:36" x14ac:dyDescent="0.2">
      <c r="B70">
        <v>29</v>
      </c>
      <c r="C70" t="s">
        <v>253</v>
      </c>
      <c r="D70" t="s">
        <v>68</v>
      </c>
      <c r="E70">
        <v>11</v>
      </c>
      <c r="F70">
        <v>6.8</v>
      </c>
      <c r="G70" s="1">
        <v>7.0000000000000007E-2</v>
      </c>
      <c r="H70" s="2">
        <v>2.4E-2</v>
      </c>
      <c r="I70">
        <v>-2</v>
      </c>
      <c r="J70">
        <v>7</v>
      </c>
      <c r="K70">
        <v>24.02</v>
      </c>
      <c r="L70">
        <v>21.05</v>
      </c>
      <c r="N70" t="s">
        <v>254</v>
      </c>
      <c r="X70" t="s">
        <v>255</v>
      </c>
    </row>
    <row r="71" spans="2:36" x14ac:dyDescent="0.2">
      <c r="B71">
        <v>30</v>
      </c>
      <c r="C71" t="s">
        <v>256</v>
      </c>
      <c r="D71" t="s">
        <v>27</v>
      </c>
      <c r="E71">
        <v>14</v>
      </c>
      <c r="F71">
        <v>6.7</v>
      </c>
      <c r="G71" s="1">
        <v>0.05</v>
      </c>
      <c r="H71" s="2">
        <v>2.4E-2</v>
      </c>
      <c r="I71">
        <v>-2.1</v>
      </c>
      <c r="J71">
        <v>7</v>
      </c>
      <c r="K71">
        <v>24.04</v>
      </c>
      <c r="L71">
        <v>21.08</v>
      </c>
      <c r="N71" t="s">
        <v>257</v>
      </c>
    </row>
    <row r="72" spans="2:36" x14ac:dyDescent="0.2">
      <c r="B72">
        <v>31</v>
      </c>
      <c r="C72" t="s">
        <v>258</v>
      </c>
      <c r="D72" t="s">
        <v>102</v>
      </c>
      <c r="E72">
        <v>7</v>
      </c>
      <c r="F72">
        <v>6.7</v>
      </c>
      <c r="G72" s="1">
        <v>0.02</v>
      </c>
      <c r="H72" s="2">
        <v>2.4E-2</v>
      </c>
      <c r="I72">
        <v>-2.1</v>
      </c>
      <c r="J72">
        <v>7</v>
      </c>
      <c r="K72">
        <v>16.07</v>
      </c>
      <c r="L72">
        <v>19.02</v>
      </c>
      <c r="N72" t="s">
        <v>259</v>
      </c>
      <c r="X72" t="s">
        <v>260</v>
      </c>
    </row>
    <row r="73" spans="2:36" x14ac:dyDescent="0.2">
      <c r="B73">
        <v>32</v>
      </c>
      <c r="C73" t="s">
        <v>261</v>
      </c>
      <c r="D73" t="s">
        <v>29</v>
      </c>
      <c r="E73">
        <v>8</v>
      </c>
      <c r="F73">
        <v>6.5</v>
      </c>
      <c r="G73" s="1">
        <v>0</v>
      </c>
      <c r="H73" s="2">
        <v>2.3E-2</v>
      </c>
      <c r="I73">
        <v>-2.2999999999999998</v>
      </c>
      <c r="J73">
        <v>7</v>
      </c>
      <c r="K73">
        <v>26.02</v>
      </c>
      <c r="L73">
        <v>24.03</v>
      </c>
      <c r="N73" t="s">
        <v>262</v>
      </c>
    </row>
    <row r="74" spans="2:36" x14ac:dyDescent="0.2">
      <c r="N74" t="s">
        <v>263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828FBA-F91B-40E0-8254-8A919C6B454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Previous Draft Results</vt:lpstr>
      <vt:lpstr>Player Projections</vt:lpstr>
      <vt:lpstr>Draft Results 1</vt:lpstr>
      <vt:lpstr>Draft Results 2</vt:lpstr>
      <vt:lpstr>Draft Results 3</vt:lpstr>
      <vt:lpstr>Draft Results 4</vt:lpstr>
      <vt:lpstr>Draft Results 5</vt:lpstr>
      <vt:lpstr>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 Utash</dc:creator>
  <cp:lastModifiedBy>Niko Otto Utash</cp:lastModifiedBy>
  <dcterms:created xsi:type="dcterms:W3CDTF">2025-12-17T00:42:41Z</dcterms:created>
  <dcterms:modified xsi:type="dcterms:W3CDTF">2025-12-20T21:12:28Z</dcterms:modified>
</cp:coreProperties>
</file>